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اندیکاسیون‌ها" sheetId="2" state="visible" r:id="rId4"/>
    <sheet name="ممیزی" sheetId="3" state="visible" r:id="rId5"/>
    <sheet name="فهرست‌ها" sheetId="4" state="hidden" r:id="rId6"/>
    <sheet name="خلاصه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FreeSans"/>
            <family val="2"/>
          </rPr>
          <t xml:space="preserve">مشتق از فرم: روز ۱ و ۳، هر روز حداکثر ۱۰ ویال</t>
        </r>
        <r>
          <rPr>
            <sz val="10"/>
            <rFont val="Arial"/>
            <family val="2"/>
          </rPr>
          <t xml:space="preserve">.</t>
        </r>
      </text>
    </comment>
    <comment ref="F5" authorId="0">
      <text>
        <r>
          <rPr>
            <sz val="10"/>
            <rFont val="FreeSans"/>
            <family val="2"/>
          </rPr>
          <t xml:space="preserve">مشتق از فرم: روز ۱ و ۲ هر کدام ۱۰ ویال + ۱۲ روز × ۴ ویال = ۶۸</t>
        </r>
        <r>
          <rPr>
            <sz val="10"/>
            <rFont val="Arial"/>
            <family val="2"/>
          </rPr>
          <t xml:space="preserve">.</t>
        </r>
      </text>
    </comment>
    <comment ref="F6" authorId="0">
      <text>
        <r>
          <rPr>
            <sz val="10"/>
            <rFont val="FreeSans"/>
            <family val="2"/>
          </rPr>
          <t xml:space="preserve">به تعداد جلسه و حجم بستگی دارد؛ ممیز سقف را دستی وارد می‌کند</t>
        </r>
        <r>
          <rPr>
            <sz val="10"/>
            <rFont val="Arial"/>
            <family val="2"/>
          </rPr>
          <t xml:space="preserve">.</t>
        </r>
      </text>
    </comment>
    <comment ref="F8" authorId="0">
      <text>
        <r>
          <rPr>
            <sz val="10"/>
            <rFont val="FreeSans"/>
            <family val="2"/>
          </rPr>
          <t xml:space="preserve">مشتق از فرم: ۳ ویال در روز × حداکثر ۴ روز</t>
        </r>
        <r>
          <rPr>
            <sz val="10"/>
            <rFont val="Arial"/>
            <family val="2"/>
          </rPr>
          <t xml:space="preserve">.</t>
        </r>
      </text>
    </comment>
    <comment ref="F9" authorId="0">
      <text>
        <r>
          <rPr>
            <sz val="10"/>
            <rFont val="FreeSans"/>
            <family val="2"/>
          </rPr>
          <t xml:space="preserve">مشتق از فرم: ۲ ویال در روز × حداکثر ۲ روز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2" authorId="0">
      <text>
        <r>
          <rPr>
            <sz val="10"/>
            <rFont val="FreeSans"/>
            <family val="2"/>
          </rPr>
          <t xml:space="preserve">مبنای قضاوت «مطابق»: یافته یا آزمایشی که معیار ستون </t>
        </r>
        <r>
          <rPr>
            <sz val="10"/>
            <rFont val="Arial"/>
            <family val="2"/>
          </rPr>
          <t xml:space="preserve">D </t>
        </r>
        <r>
          <rPr>
            <sz val="10"/>
            <rFont val="FreeSans"/>
            <family val="2"/>
          </rPr>
          <t xml:space="preserve">جدول اندیکاسیون‌ها را نشان دهد، پیش از تجویز در پرونده ثبت شده باشد</t>
        </r>
        <r>
          <rPr>
            <sz val="10"/>
            <rFont val="Arial"/>
            <family val="2"/>
          </rPr>
          <t xml:space="preserve">.</t>
        </r>
      </text>
    </comment>
    <comment ref="Y2" authorId="0">
      <text>
        <r>
          <rPr>
            <sz val="10"/>
            <rFont val="FreeSans"/>
            <family val="2"/>
          </rPr>
          <t xml:space="preserve">باید صفر باشد. عدد مثبت یعنی ویالی که تحویل شده اما نه تزریقش ثبت شده و نه برگشته است</t>
        </r>
        <r>
          <rPr>
            <sz val="10"/>
            <rFont val="Arial"/>
            <family val="2"/>
          </rPr>
          <t xml:space="preserve">.</t>
        </r>
      </text>
    </comment>
    <comment ref="AB2" authorId="0">
      <text>
        <r>
          <rPr>
            <sz val="10"/>
            <rFont val="FreeSans"/>
            <family val="2"/>
          </rPr>
          <t xml:space="preserve">برای وضعیت‌های نامطابق: (تحویلی − برگشتی) × قیمت. برای «مطابق، دوز مازاد»: فقط ویال‌های مازاد × قیمت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<sst xmlns="http://schemas.openxmlformats.org/spreadsheetml/2006/main" count="223" uniqueCount="190">
  <si>
    <t xml:space="preserve">راهنمای ممیزی پرونده‌های آلبومین — بیمارستان جم</t>
  </si>
  <si>
    <t xml:space="preserve">هدف</t>
  </si>
  <si>
    <t xml:space="preserve">تعیین خط پایه «درصد مصرف آلبومین مطابق اندیکاسیون»، کامل بودن مستندات، ویال‌های بدون سرنوشت و ریسک کسورات بیمه، پیش از اجرای فرم جدید درخواست آلبومین؛ و تکرار همین ممیزی ۳ ماه بعد برای سنجش اثر فرم.</t>
  </si>
  <si>
    <t xml:space="preserve">نمونه‌گیری</t>
  </si>
  <si>
    <t xml:space="preserve">۱. از HIS فهرست همه بستری‌هایی را بگیرید که در دوره ممیزی آلبومین دریافت کرده‌اند (پیشنهاد: شهریور و مهر ۱۴۰۵).</t>
  </si>
  <si>
    <t xml:space="preserve">۲. اولویت: بخش‌های 3A، 3B، 4A و 4B (بیشترین مصرف در بخش عمومی)، سپس ICU و I.C.U OH.</t>
  </si>
  <si>
    <t xml:space="preserve">۳. از هر بخش ۳۰ پرونده به‌صورت تصادفی انتخاب کنید (اگر کمتر از ۳۰ بود، همه). با ۳۰ پرونده دقت برآورد حدود ±۱۸ درصد است و با ۱۲۰ پرونده در کل حدود ±۹ درصد.</t>
  </si>
  <si>
    <t xml:space="preserve">۴. انتخاب تصادفی: فهرست را بر اساس شماره پرونده مرتب کنید و با RAND() یا هر nامین پرونده انتخاب کنید. پرونده‌ها را بر اساس «جالب بودن» انتخاب نکنید.</t>
  </si>
  <si>
    <t xml:space="preserve">نحوه تکمیل برگه «ممیزی»</t>
  </si>
  <si>
    <t xml:space="preserve">• فقط سلول‌های زرد را پر کنید. سلول‌های آبی فرمول‌اند و خودکار حساب می‌شوند.</t>
  </si>
  <si>
    <t xml:space="preserve">• کد اندیکاسیون را از روی آنچه در پرونده آمده تعیین کنید، نه از روی حدس. اگر از پرونده معلوم نیست: U0.</t>
  </si>
  <si>
    <t xml:space="preserve">• «معیار الزامی مستند است» فقط وقتی «بله» است که یافته یا آزمایش ستون D جدول اندیکاسیون‌ها پیش از تجویز در پرونده ثبت شده باشد.</t>
  </si>
  <si>
    <t xml:space="preserve">• «نامرتبط» برای مواردی است که آن بند برای این بیمار لازم نیست (مثلاً تأیید خارج از معیار برای مورد مطابق جدول).</t>
  </si>
  <si>
    <t xml:space="preserve">• ویال تحویلی را از HIS، ویال تزریق‌شده را از گزارش پرستاری/کاردکس و ویال برگشتی را از سامانه داروخانه بخوانید. اگر صفر است، صفر بنویسید، نه خالی.</t>
  </si>
  <si>
    <t xml:space="preserve">• قیمت خرید هر ویال را بر اساس کد کالای تحویلی وارد کنید (مثلاً حدود ۲۱ میلیون ریال برای کد ۱۰۵۰۰۸ و ۷۸٫۶ میلیون ریال برای کد ۱۲۸۶۰۹، طبق گزارش HIS ۱۴۰۵).</t>
  </si>
  <si>
    <t xml:space="preserve">• سقف مرجع از جدول اندیکاسیون‌ها می‌آید. برای پلاسمافرز یا وقتی سقف برای این بیمار فرق دارد، ستون «سقف برای این بیمار» را پر کنید.</t>
  </si>
  <si>
    <t xml:space="preserve">• شماره پرونده را فقط در فایل داخلی نگه دارید. در گزارش‌هایی که بیرون از واحد می‌رود، فقط ردیف را ذکر کنید.</t>
  </si>
  <si>
    <t xml:space="preserve">وضعیت‌ها</t>
  </si>
  <si>
    <t xml:space="preserve">مطابق: اندیکاسیون جدول + معیار مستند + در سقف دوز | مطابق، دوز مازاد: اندیکاسیون درست اما بیش از سقف | معیار مستند نشده: اندیکاسیون جدول ذکر شده اما شاهدش در پرونده نیست | بدون اندیکاسیون: یکی از موارد N | خارج از جدول بدون تأیید: کد X1 بدون تأیید کمیته | اندیکاسیون نامشخص: U0</t>
  </si>
  <si>
    <t xml:space="preserve">نمونه یک ردیف تکمیل‌شده (فقط برای راهنمایی؛ در برگه ممیزی وارد نکنید)</t>
  </si>
  <si>
    <t xml:space="preserve">پرونده 405123 | بخش 3B | تامین اجتماعی | 1405/06/12 | 72 kg | کد A1 | فرم: بله | دستور: بله | معیار: بله | آزمایش: بله | دوز و نقطه پایان: خیر | داروساز: بله | خارج معیار: نامرتبط | ثبت پرستاری: بله | تحویلی 6 | تزریق 6 | برگشتی 0 | قیمت 21,000,000 | سهم بیمه 0 | سهم بیمار 138,000,000 → وضعیت «مطابق»، امتیاز مستندات ۸۶٪، پیام «بررسی امکان دریافت از بیمه».</t>
  </si>
  <si>
    <t xml:space="preserve">خروجی</t>
  </si>
  <si>
    <t xml:space="preserve">برگه «خلاصه» نرخ مصرف مطابق، کامل بودن هر بند مستندات، ارزش ریالی مصرف نامطابق، ویال بدون سرنوشت و پیام‌های بیمه را به تفکیک بخش نشان می‌دهد. این اعداد مستقیماً وارد گزارش یک‌صفحه‌ای مدیریت می‌شوند.</t>
  </si>
  <si>
    <t xml:space="preserve">یادآوری: قضاوت بالینی موارد مرزی با داروساز بالینی یا پزشک معالج است. ممیزی برای اصلاح سیستم است، نه سرزنش فرد.</t>
  </si>
  <si>
    <t xml:space="preserve">راهنمای رنگ: زرد = ورود داده توسط ممیز | آبی = محاسبه خودکار</t>
  </si>
  <si>
    <t xml:space="preserve">جدول مرجع اندیکاسیون‌ها (برگرفته از فرم درخواست آلبومین بیمارستان)</t>
  </si>
  <si>
    <t xml:space="preserve">کد</t>
  </si>
  <si>
    <t xml:space="preserve">طبقه</t>
  </si>
  <si>
    <t xml:space="preserve">اندیکاسیون</t>
  </si>
  <si>
    <t xml:space="preserve">معیار الزامی که باید در پرونده مستند باشد</t>
  </si>
  <si>
    <t xml:space="preserve">دوز طبق فرم</t>
  </si>
  <si>
    <t xml:space="preserve">سقف ویال ۲۰٪ کل دوره (برای ممیزی)</t>
  </si>
  <si>
    <t xml:space="preserve">نقطه پایان</t>
  </si>
  <si>
    <t xml:space="preserve">A1</t>
  </si>
  <si>
    <t xml:space="preserve">الف</t>
  </si>
  <si>
    <t xml:space="preserve">پاراسنتز حجیم در سیروز</t>
  </si>
  <si>
    <t xml:space="preserve">خروج ≥ ۵ لیتر آسیت (یا هر حجم با کراتینین &gt; ۱٫۵)</t>
  </si>
  <si>
    <t xml:space="preserve">۶ تا ۸ گرم به ازای هر لیتر</t>
  </si>
  <si>
    <t xml:space="preserve">پس از اتمام پاراسنتز</t>
  </si>
  <si>
    <t xml:space="preserve">A2</t>
  </si>
  <si>
    <t xml:space="preserve">پریتونیت باکتریایی خودبه‌خودی (SBP)</t>
  </si>
  <si>
    <t xml:space="preserve">PMN مایع آسیت ≥ ۲۵۰ و یکی از: کراتینین &gt; ۱، BUN &gt; ۳۰، بیلی‌روبین &gt; ۴</t>
  </si>
  <si>
    <t xml:space="preserve">روز ۱: ۱٫۵ g/kg، روز ۳: ۱ g/kg (حداکثر ۱۰۰ گرم در روز)</t>
  </si>
  <si>
    <t xml:space="preserve">فقط روز ۱ و ۳</t>
  </si>
  <si>
    <t xml:space="preserve">A3</t>
  </si>
  <si>
    <t xml:space="preserve">سندرم هپاتورنال (HRS-AKI)</t>
  </si>
  <si>
    <t xml:space="preserve">سیروز + کراتینین &gt; ۱٫۵، بدون شوک، عفونت فعال یا داروی نفروتوکسیک</t>
  </si>
  <si>
    <t xml:space="preserve">روز ۱ و ۲: ۱ g/kg، سپس ۲۰ تا ۴۰ گرم روزانه با تنگ‌کننده عروقی</t>
  </si>
  <si>
    <t xml:space="preserve">بهبود کراتینین یا حداکثر ۱۴ روز</t>
  </si>
  <si>
    <t xml:space="preserve">A4</t>
  </si>
  <si>
    <t xml:space="preserve">پلاسمافرز</t>
  </si>
  <si>
    <t xml:space="preserve">دستور پزشک متخصص و پروتکل آفرزیس</t>
  </si>
  <si>
    <t xml:space="preserve">آلبومین ۵٪ برای جایگزینی ۷۰ تا ۸۰٪ حجم پلاسمای خارج‌شده</t>
  </si>
  <si>
    <t xml:space="preserve">پایان هر جلسه</t>
  </si>
  <si>
    <t xml:space="preserve">B1</t>
  </si>
  <si>
    <t xml:space="preserve">ب</t>
  </si>
  <si>
    <t xml:space="preserve">احیای حجم پس از جراحی قلب</t>
  </si>
  <si>
    <t xml:space="preserve">≥ ۳ لیتر کریستالوئید بولوس در ۲۴ ساعت بدون پاسخ همودینامیک (مایع حین عمل حساب نمی‌شود)</t>
  </si>
  <si>
    <t xml:space="preserve">آلبومین ۵٪ یا معادل آن</t>
  </si>
  <si>
    <t xml:space="preserve">پاسخ همودینامیک یا ۲۴ ساعت</t>
  </si>
  <si>
    <t xml:space="preserve">B2</t>
  </si>
  <si>
    <t xml:space="preserve">رزکسیون بیش از ۴۰٪ کبد</t>
  </si>
  <si>
    <t xml:space="preserve">آلبومین سرم &lt; ۲٫۵ و حجم داخل عروقی ناکافی با کریستالوئید</t>
  </si>
  <si>
    <t xml:space="preserve">۲۰ تا ۲۵ گرم روزانه</t>
  </si>
  <si>
    <t xml:space="preserve">آلبومین ≥ ۲٫۵ یا حداکثر ۴ روز</t>
  </si>
  <si>
    <t xml:space="preserve">B3</t>
  </si>
  <si>
    <t xml:space="preserve">شوک سپتیک مقاوم</t>
  </si>
  <si>
    <t xml:space="preserve">نیاز به وازوپرسور پس از ≥ ۳۰ mL/kg کریستالوئید؛ امضای متخصص ICU</t>
  </si>
  <si>
    <t xml:space="preserve">حداکثر ۲۰ گرم در روز</t>
  </si>
  <si>
    <t xml:space="preserve">حداکثر ۲ روز</t>
  </si>
  <si>
    <t xml:space="preserve">C1</t>
  </si>
  <si>
    <t xml:space="preserve">ج</t>
  </si>
  <si>
    <t xml:space="preserve">سندرم نفروتیک شدید با آناسارکا یا ادم ریه</t>
  </si>
  <si>
    <t xml:space="preserve">پروتئینوری &gt; ۳ g/day و مقاومت به فوروزماید (≥ ۱۶۰ mg بولوس + ≥ ۲۰ mg/h به مدت ۸ ساعت)</t>
  </si>
  <si>
    <t xml:space="preserve">۲۰ تا ۲۵ گرم همراه با دیورتیک</t>
  </si>
  <si>
    <t xml:space="preserve">دیورز کافی؛ تکرار با تأیید نفرولوژی</t>
  </si>
  <si>
    <t xml:space="preserve">C2</t>
  </si>
  <si>
    <t xml:space="preserve">آسیت یا ادم مقاوم به دیورتیک در سیروز</t>
  </si>
  <si>
    <t xml:space="preserve">حداکثر دوز دیورتیک (اسپیرونولاکتون ۴۰۰ + فوروزماید ۱۶۰) + آلبومین &lt; ۲ g/dL</t>
  </si>
  <si>
    <t xml:space="preserve">۲۰ گرم</t>
  </si>
  <si>
    <t xml:space="preserve">فقط روز ۱</t>
  </si>
  <si>
    <t xml:space="preserve">N1</t>
  </si>
  <si>
    <t xml:space="preserve">بدون اندیکاسیون</t>
  </si>
  <si>
    <t xml:space="preserve">ترومای مغزی (TBI)</t>
  </si>
  <si>
    <t xml:space="preserve">منع مصرف</t>
  </si>
  <si>
    <t xml:space="preserve">N2</t>
  </si>
  <si>
    <t xml:space="preserve">اصلاح آلبومین پایین بدون علامت</t>
  </si>
  <si>
    <t xml:space="preserve">N3</t>
  </si>
  <si>
    <t xml:space="preserve">احیای حجم روتین در ICU</t>
  </si>
  <si>
    <t xml:space="preserve">N4</t>
  </si>
  <si>
    <t xml:space="preserve">سپسیس بدون شوک</t>
  </si>
  <si>
    <t xml:space="preserve">N5</t>
  </si>
  <si>
    <t xml:space="preserve">سوءتغذیه، سوءجذب، انتروپاتی دفع پروتئین</t>
  </si>
  <si>
    <t xml:space="preserve">N6</t>
  </si>
  <si>
    <t xml:space="preserve">افت فشار حین دیالیز / بهبود اولترافیلتراسیون</t>
  </si>
  <si>
    <t xml:space="preserve">N7</t>
  </si>
  <si>
    <t xml:space="preserve">ترومای عمده، شوک هموراژیک، ARDS</t>
  </si>
  <si>
    <t xml:space="preserve">N8</t>
  </si>
  <si>
    <t xml:space="preserve">انسفالوپاتی کبدی، پانکراتیت، نارسایی قلبی، آنمی</t>
  </si>
  <si>
    <t xml:space="preserve">N9</t>
  </si>
  <si>
    <t xml:space="preserve">هیپوآلبومینمی پیش از جراحی</t>
  </si>
  <si>
    <t xml:space="preserve">X1</t>
  </si>
  <si>
    <t xml:space="preserve">خارج از جدول</t>
  </si>
  <si>
    <t xml:space="preserve">سایر موارد خارج از جدول</t>
  </si>
  <si>
    <t xml:space="preserve">مشاوره فارماکوتراپی و تأیید رئیس کمیته دارو و درمان یا معاون درمان</t>
  </si>
  <si>
    <t xml:space="preserve">U0</t>
  </si>
  <si>
    <t xml:space="preserve">نامشخص</t>
  </si>
  <si>
    <t xml:space="preserve">اندیکاسیون از پرونده قابل تشخیص نیست</t>
  </si>
  <si>
    <t xml:space="preserve">سقف کل دوره از ستون‌های دوز و نقطه پایان همین فرم مشتق شده و فقط برای ممیزی است. اگر فرم در کمیته اصلاح شد، این جدول هم به‌روز شود.</t>
  </si>
  <si>
    <t xml:space="preserve">ثبت ممیزی پرونده‌های آلبومین — هر ردیف یک بستری</t>
  </si>
  <si>
    <t xml:space="preserve">ردیف</t>
  </si>
  <si>
    <t xml:space="preserve">شماره پرونده</t>
  </si>
  <si>
    <t xml:space="preserve">بخش</t>
  </si>
  <si>
    <t xml:space="preserve">بیمه پایه</t>
  </si>
  <si>
    <t xml:space="preserve">تاریخ پذیرش</t>
  </si>
  <si>
    <t xml:space="preserve">وزن (kg)</t>
  </si>
  <si>
    <t xml:space="preserve">کد اندیکاسیون (از پرونده)</t>
  </si>
  <si>
    <t xml:space="preserve">فرم درخواست کامل و امضاشده</t>
  </si>
  <si>
    <t xml:space="preserve">اندیکاسیون در دستور پزشک</t>
  </si>
  <si>
    <t xml:space="preserve">معیار الزامی در پرونده مستند است</t>
  </si>
  <si>
    <t xml:space="preserve">آزمایش‌های الزامی فرم ثبت شده</t>
  </si>
  <si>
    <t xml:space="preserve">دوز به گرم و نقطه پایان ذکر شده</t>
  </si>
  <si>
    <t xml:space="preserve">تأیید داروساز</t>
  </si>
  <si>
    <t xml:space="preserve">تأیید موارد خارج از معیار</t>
  </si>
  <si>
    <t xml:space="preserve">ثبت تزریق همه ویال‌ها در گزارش پرستاری</t>
  </si>
  <si>
    <t xml:space="preserve">ویال تحویلی (HIS)</t>
  </si>
  <si>
    <t xml:space="preserve">ویال تزریق‌شده (پرستاری)</t>
  </si>
  <si>
    <t xml:space="preserve">ویال برگشتی</t>
  </si>
  <si>
    <t xml:space="preserve">سقف مرجع جدول</t>
  </si>
  <si>
    <t xml:space="preserve">سقف برای این بیمار (اختیاری)</t>
  </si>
  <si>
    <t xml:space="preserve">قیمت خرید هر ویال (ریال)</t>
  </si>
  <si>
    <t xml:space="preserve">ویال مازاد بر سقف</t>
  </si>
  <si>
    <t xml:space="preserve">ویال بدون سرنوشت (تحویلی − تزریق − برگشت)</t>
  </si>
  <si>
    <t xml:space="preserve">وضعیت اندیکاسیون</t>
  </si>
  <si>
    <t xml:space="preserve">امتیاز مستندات</t>
  </si>
  <si>
    <t xml:space="preserve">ارزش مصرف نامطابق (ریال)</t>
  </si>
  <si>
    <t xml:space="preserve">سهم بیمه ثبت‌شده (ریال)</t>
  </si>
  <si>
    <t xml:space="preserve">سهم بیمار ثبت‌شده (ریال)</t>
  </si>
  <si>
    <t xml:space="preserve">پیام بیمه</t>
  </si>
  <si>
    <t xml:space="preserve">یادداشت ممیز / اقدام</t>
  </si>
  <si>
    <t xml:space="preserve">ICU</t>
  </si>
  <si>
    <t xml:space="preserve">تامین اجتماعی</t>
  </si>
  <si>
    <t xml:space="preserve">بله</t>
  </si>
  <si>
    <t xml:space="preserve">I.C.U OH</t>
  </si>
  <si>
    <t xml:space="preserve">سلامت</t>
  </si>
  <si>
    <t xml:space="preserve">خیر</t>
  </si>
  <si>
    <t xml:space="preserve">C.C.U</t>
  </si>
  <si>
    <t xml:space="preserve">نیروهای مسلح</t>
  </si>
  <si>
    <t xml:space="preserve">نامرتبط</t>
  </si>
  <si>
    <r>
      <rPr>
        <sz val="11"/>
        <color theme="1"/>
        <rFont val="FreeSans"/>
        <family val="2"/>
      </rPr>
      <t xml:space="preserve">بخش </t>
    </r>
    <r>
      <rPr>
        <sz val="11"/>
        <color theme="1"/>
        <rFont val="Calibri"/>
        <family val="2"/>
        <charset val="1"/>
      </rPr>
      <t xml:space="preserve">2</t>
    </r>
  </si>
  <si>
    <t xml:space="preserve">سایر بیمه‌ها</t>
  </si>
  <si>
    <r>
      <rPr>
        <sz val="11"/>
        <color theme="1"/>
        <rFont val="FreeSans"/>
        <family val="2"/>
      </rPr>
      <t xml:space="preserve">بخش </t>
    </r>
    <r>
      <rPr>
        <sz val="11"/>
        <color theme="1"/>
        <rFont val="Calibri"/>
        <family val="2"/>
        <charset val="1"/>
      </rPr>
      <t xml:space="preserve">3A</t>
    </r>
  </si>
  <si>
    <t xml:space="preserve">آزاد</t>
  </si>
  <si>
    <r>
      <rPr>
        <sz val="11"/>
        <color theme="1"/>
        <rFont val="FreeSans"/>
        <family val="2"/>
      </rPr>
      <t xml:space="preserve">بخش </t>
    </r>
    <r>
      <rPr>
        <sz val="11"/>
        <color theme="1"/>
        <rFont val="Calibri"/>
        <family val="2"/>
        <charset val="1"/>
      </rPr>
      <t xml:space="preserve">3B</t>
    </r>
  </si>
  <si>
    <r>
      <rPr>
        <sz val="11"/>
        <color theme="1"/>
        <rFont val="FreeSans"/>
        <family val="2"/>
      </rPr>
      <t xml:space="preserve">بخش </t>
    </r>
    <r>
      <rPr>
        <sz val="11"/>
        <color theme="1"/>
        <rFont val="Calibri"/>
        <family val="2"/>
        <charset val="1"/>
      </rPr>
      <t xml:space="preserve">4A</t>
    </r>
  </si>
  <si>
    <r>
      <rPr>
        <sz val="11"/>
        <color theme="1"/>
        <rFont val="FreeSans"/>
        <family val="2"/>
      </rPr>
      <t xml:space="preserve">بخش </t>
    </r>
    <r>
      <rPr>
        <sz val="11"/>
        <color theme="1"/>
        <rFont val="Calibri"/>
        <family val="2"/>
        <charset val="1"/>
      </rPr>
      <t xml:space="preserve">4B</t>
    </r>
  </si>
  <si>
    <t xml:space="preserve">سایر</t>
  </si>
  <si>
    <t xml:space="preserve">خلاصه نتایج ممیزی آلبومین</t>
  </si>
  <si>
    <t xml:space="preserve">کلیات</t>
  </si>
  <si>
    <t xml:space="preserve">تعداد پرونده ممیزی‌شده</t>
  </si>
  <si>
    <t xml:space="preserve">وضعیت اندیکاسیون (تعداد و درصد)</t>
  </si>
  <si>
    <t xml:space="preserve">درصد</t>
  </si>
  <si>
    <t xml:space="preserve">مطابق</t>
  </si>
  <si>
    <t xml:space="preserve">مطابق، دوز مازاد</t>
  </si>
  <si>
    <t xml:space="preserve">معیار مستند نشده</t>
  </si>
  <si>
    <t xml:space="preserve">خارج از جدول بدون تأیید</t>
  </si>
  <si>
    <t xml:space="preserve">اندیکاسیون نامشخص</t>
  </si>
  <si>
    <t xml:space="preserve">نرخ مصرف مطابق اندیکاسیون (شامل دوز مازاد)</t>
  </si>
  <si>
    <t xml:space="preserve">ویال و ریال</t>
  </si>
  <si>
    <t xml:space="preserve">ویال تحویلی</t>
  </si>
  <si>
    <t xml:space="preserve">ویال تزریق‌شده (ثبت پرستاری)</t>
  </si>
  <si>
    <t xml:space="preserve">ویال بدون سرنوشت</t>
  </si>
  <si>
    <t xml:space="preserve">ویال مازاد بر سقف (فقط در موارد با اندیکاسیون مطابق)</t>
  </si>
  <si>
    <t xml:space="preserve">میانگین امتیاز مستندات</t>
  </si>
  <si>
    <t xml:space="preserve">کامل بودن مستندات (درصد «بله» از موارد مرتبط)</t>
  </si>
  <si>
    <t xml:space="preserve">بیمه</t>
  </si>
  <si>
    <t xml:space="preserve">پرونده با «ریسک کسورات»</t>
  </si>
  <si>
    <t xml:space="preserve">پرونده مطابق که سهم بیمه ندارد (بررسی امکان دریافت)</t>
  </si>
  <si>
    <t xml:space="preserve">جمع سهم بیمه ثبت‌شده (ریال)</t>
  </si>
  <si>
    <t xml:space="preserve">جمع سهم بیمار ثبت‌شده (ریال)</t>
  </si>
  <si>
    <t xml:space="preserve">به تفکیک بخش</t>
  </si>
  <si>
    <t xml:space="preserve">پرونده</t>
  </si>
  <si>
    <t xml:space="preserve">مطابق (با دوز مازاد)</t>
  </si>
  <si>
    <t xml:space="preserve">نرخ مطابق</t>
  </si>
  <si>
    <t xml:space="preserve">ارزش نامطابق (ریال)</t>
  </si>
  <si>
    <t xml:space="preserve">بخش 2</t>
  </si>
  <si>
    <t xml:space="preserve">بخش 3A</t>
  </si>
  <si>
    <t xml:space="preserve">بخش 3B</t>
  </si>
  <si>
    <t xml:space="preserve">بخش 4A</t>
  </si>
  <si>
    <t xml:space="preserve">بخش 4B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</si>
</sst>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#,##0;\-#,##0;\-"/>
    <numFmt numFmtId="168" formatCode="0"/>
    <numFmt numFmtId="169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sz val="11"/>
      <color theme="1"/>
      <name val="Free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E7EEF7"/>
        <bgColor rgb="FFFFFFFF"/>
      </patternFill>
    </fill>
    <fill>
      <patternFill patternType="solid">
        <fgColor rgb="FFD9D9D9"/>
        <bgColor rgb="FFE7EE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E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23.8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19</v>
      </c>
    </row>
    <row r="26" customFormat="false" ht="35.0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3" t="s">
        <v>21</v>
      </c>
    </row>
    <row r="29" customFormat="false" ht="23.85" hidden="false" customHeight="false" outlineLevel="0" collapsed="false">
      <c r="A29" s="2" t="s">
        <v>22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4" t="s">
        <v>23</v>
      </c>
    </row>
    <row r="33" customFormat="false" ht="12.65" hidden="false" customHeight="false" outlineLevel="0" collapsed="false">
      <c r="A33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26"/>
  </cols>
  <sheetData>
    <row r="1" customFormat="false" ht="17.15" hidden="false" customHeight="false" outlineLevel="0" collapsed="false">
      <c r="A1" s="6" t="s">
        <v>25</v>
      </c>
    </row>
    <row r="2" customFormat="false" ht="23.85" hidden="false" customHeight="false" outlineLevel="0" collapsed="false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</row>
    <row r="3" customFormat="false" ht="15" hidden="false" customHeight="false" outlineLevel="0" collapsed="false">
      <c r="A3" s="8" t="s">
        <v>33</v>
      </c>
      <c r="B3" s="8" t="s">
        <v>34</v>
      </c>
      <c r="C3" s="8" t="s">
        <v>35</v>
      </c>
      <c r="D3" s="8" t="s">
        <v>36</v>
      </c>
      <c r="E3" s="8" t="s">
        <v>37</v>
      </c>
      <c r="F3" s="8" t="n">
        <v>8</v>
      </c>
      <c r="G3" s="8" t="s">
        <v>38</v>
      </c>
    </row>
    <row r="4" customFormat="false" ht="23.85" hidden="false" customHeight="false" outlineLevel="0" collapsed="false">
      <c r="A4" s="8" t="s">
        <v>39</v>
      </c>
      <c r="B4" s="8" t="s">
        <v>34</v>
      </c>
      <c r="C4" s="8" t="s">
        <v>40</v>
      </c>
      <c r="D4" s="8" t="s">
        <v>41</v>
      </c>
      <c r="E4" s="8" t="s">
        <v>42</v>
      </c>
      <c r="F4" s="8" t="n">
        <v>20</v>
      </c>
      <c r="G4" s="8" t="s">
        <v>43</v>
      </c>
    </row>
    <row r="5" customFormat="false" ht="23.85" hidden="false" customHeight="false" outlineLevel="0" collapsed="false">
      <c r="A5" s="8" t="s">
        <v>44</v>
      </c>
      <c r="B5" s="8" t="s">
        <v>34</v>
      </c>
      <c r="C5" s="8" t="s">
        <v>45</v>
      </c>
      <c r="D5" s="8" t="s">
        <v>46</v>
      </c>
      <c r="E5" s="8" t="s">
        <v>47</v>
      </c>
      <c r="F5" s="8" t="n">
        <v>68</v>
      </c>
      <c r="G5" s="8" t="s">
        <v>48</v>
      </c>
    </row>
    <row r="6" customFormat="false" ht="23.85" hidden="false" customHeight="false" outlineLevel="0" collapsed="false">
      <c r="A6" s="8" t="s">
        <v>49</v>
      </c>
      <c r="B6" s="8" t="s">
        <v>34</v>
      </c>
      <c r="C6" s="8" t="s">
        <v>50</v>
      </c>
      <c r="D6" s="8" t="s">
        <v>51</v>
      </c>
      <c r="E6" s="8" t="s">
        <v>52</v>
      </c>
      <c r="F6" s="8"/>
      <c r="G6" s="8" t="s">
        <v>53</v>
      </c>
    </row>
    <row r="7" customFormat="false" ht="23.85" hidden="false" customHeight="false" outlineLevel="0" collapsed="false">
      <c r="A7" s="8" t="s">
        <v>54</v>
      </c>
      <c r="B7" s="8" t="s">
        <v>55</v>
      </c>
      <c r="C7" s="8" t="s">
        <v>56</v>
      </c>
      <c r="D7" s="8" t="s">
        <v>57</v>
      </c>
      <c r="E7" s="8" t="s">
        <v>58</v>
      </c>
      <c r="F7" s="8" t="n">
        <v>2</v>
      </c>
      <c r="G7" s="8" t="s">
        <v>59</v>
      </c>
    </row>
    <row r="8" customFormat="false" ht="15" hidden="false" customHeight="false" outlineLevel="0" collapsed="false">
      <c r="A8" s="8" t="s">
        <v>60</v>
      </c>
      <c r="B8" s="8" t="s">
        <v>55</v>
      </c>
      <c r="C8" s="8" t="s">
        <v>61</v>
      </c>
      <c r="D8" s="8" t="s">
        <v>62</v>
      </c>
      <c r="E8" s="8" t="s">
        <v>63</v>
      </c>
      <c r="F8" s="8" t="n">
        <v>12</v>
      </c>
      <c r="G8" s="8" t="s">
        <v>64</v>
      </c>
    </row>
    <row r="9" customFormat="false" ht="15" hidden="false" customHeight="false" outlineLevel="0" collapsed="false">
      <c r="A9" s="8" t="s">
        <v>65</v>
      </c>
      <c r="B9" s="8" t="s">
        <v>55</v>
      </c>
      <c r="C9" s="8" t="s">
        <v>66</v>
      </c>
      <c r="D9" s="8" t="s">
        <v>67</v>
      </c>
      <c r="E9" s="8" t="s">
        <v>68</v>
      </c>
      <c r="F9" s="8" t="n">
        <v>4</v>
      </c>
      <c r="G9" s="8" t="s">
        <v>69</v>
      </c>
    </row>
    <row r="10" customFormat="false" ht="23.85" hidden="false" customHeight="false" outlineLevel="0" collapsed="false">
      <c r="A10" s="8" t="s">
        <v>70</v>
      </c>
      <c r="B10" s="8" t="s">
        <v>71</v>
      </c>
      <c r="C10" s="8" t="s">
        <v>72</v>
      </c>
      <c r="D10" s="8" t="s">
        <v>73</v>
      </c>
      <c r="E10" s="8" t="s">
        <v>74</v>
      </c>
      <c r="F10" s="8" t="n">
        <v>3</v>
      </c>
      <c r="G10" s="8" t="s">
        <v>75</v>
      </c>
    </row>
    <row r="11" customFormat="false" ht="15" hidden="false" customHeight="false" outlineLevel="0" collapsed="false">
      <c r="A11" s="8" t="s">
        <v>76</v>
      </c>
      <c r="B11" s="8" t="s">
        <v>71</v>
      </c>
      <c r="C11" s="8" t="s">
        <v>77</v>
      </c>
      <c r="D11" s="8" t="s">
        <v>78</v>
      </c>
      <c r="E11" s="8" t="s">
        <v>79</v>
      </c>
      <c r="F11" s="8" t="n">
        <v>2</v>
      </c>
      <c r="G11" s="8" t="s">
        <v>80</v>
      </c>
    </row>
    <row r="12" customFormat="false" ht="15" hidden="false" customHeight="false" outlineLevel="0" collapsed="false">
      <c r="A12" s="8" t="s">
        <v>81</v>
      </c>
      <c r="B12" s="8" t="s">
        <v>82</v>
      </c>
      <c r="C12" s="8" t="s">
        <v>83</v>
      </c>
      <c r="D12" s="8" t="s">
        <v>84</v>
      </c>
      <c r="E12" s="8"/>
      <c r="F12" s="8" t="n">
        <v>0</v>
      </c>
      <c r="G12" s="8"/>
    </row>
    <row r="13" customFormat="false" ht="15" hidden="false" customHeight="false" outlineLevel="0" collapsed="false">
      <c r="A13" s="8" t="s">
        <v>85</v>
      </c>
      <c r="B13" s="8" t="s">
        <v>82</v>
      </c>
      <c r="C13" s="8" t="s">
        <v>86</v>
      </c>
      <c r="D13" s="8"/>
      <c r="E13" s="8"/>
      <c r="F13" s="8" t="n">
        <v>0</v>
      </c>
      <c r="G13" s="8"/>
    </row>
    <row r="14" customFormat="false" ht="15" hidden="false" customHeight="false" outlineLevel="0" collapsed="false">
      <c r="A14" s="8" t="s">
        <v>87</v>
      </c>
      <c r="B14" s="8" t="s">
        <v>82</v>
      </c>
      <c r="C14" s="8" t="s">
        <v>88</v>
      </c>
      <c r="D14" s="8"/>
      <c r="E14" s="8"/>
      <c r="F14" s="8" t="n">
        <v>0</v>
      </c>
      <c r="G14" s="8"/>
    </row>
    <row r="15" customFormat="false" ht="15" hidden="false" customHeight="false" outlineLevel="0" collapsed="false">
      <c r="A15" s="8" t="s">
        <v>89</v>
      </c>
      <c r="B15" s="8" t="s">
        <v>82</v>
      </c>
      <c r="C15" s="8" t="s">
        <v>90</v>
      </c>
      <c r="D15" s="8"/>
      <c r="E15" s="8"/>
      <c r="F15" s="8" t="n">
        <v>0</v>
      </c>
      <c r="G15" s="8"/>
    </row>
    <row r="16" customFormat="false" ht="15" hidden="false" customHeight="false" outlineLevel="0" collapsed="false">
      <c r="A16" s="8" t="s">
        <v>91</v>
      </c>
      <c r="B16" s="8" t="s">
        <v>82</v>
      </c>
      <c r="C16" s="8" t="s">
        <v>92</v>
      </c>
      <c r="D16" s="8"/>
      <c r="E16" s="8"/>
      <c r="F16" s="8" t="n">
        <v>0</v>
      </c>
      <c r="G16" s="8"/>
    </row>
    <row r="17" customFormat="false" ht="15" hidden="false" customHeight="false" outlineLevel="0" collapsed="false">
      <c r="A17" s="8" t="s">
        <v>93</v>
      </c>
      <c r="B17" s="8" t="s">
        <v>82</v>
      </c>
      <c r="C17" s="8" t="s">
        <v>94</v>
      </c>
      <c r="D17" s="8"/>
      <c r="E17" s="8"/>
      <c r="F17" s="8" t="n">
        <v>0</v>
      </c>
      <c r="G17" s="8"/>
    </row>
    <row r="18" customFormat="false" ht="15" hidden="false" customHeight="false" outlineLevel="0" collapsed="false">
      <c r="A18" s="8" t="s">
        <v>95</v>
      </c>
      <c r="B18" s="8" t="s">
        <v>82</v>
      </c>
      <c r="C18" s="8" t="s">
        <v>96</v>
      </c>
      <c r="D18" s="8"/>
      <c r="E18" s="8"/>
      <c r="F18" s="8" t="n">
        <v>0</v>
      </c>
      <c r="G18" s="8"/>
    </row>
    <row r="19" customFormat="false" ht="15" hidden="false" customHeight="false" outlineLevel="0" collapsed="false">
      <c r="A19" s="8" t="s">
        <v>97</v>
      </c>
      <c r="B19" s="8" t="s">
        <v>82</v>
      </c>
      <c r="C19" s="8" t="s">
        <v>98</v>
      </c>
      <c r="D19" s="8"/>
      <c r="E19" s="8"/>
      <c r="F19" s="8" t="n">
        <v>0</v>
      </c>
      <c r="G19" s="8"/>
    </row>
    <row r="20" customFormat="false" ht="15" hidden="false" customHeight="false" outlineLevel="0" collapsed="false">
      <c r="A20" s="8" t="s">
        <v>99</v>
      </c>
      <c r="B20" s="8" t="s">
        <v>82</v>
      </c>
      <c r="C20" s="8" t="s">
        <v>100</v>
      </c>
      <c r="D20" s="8"/>
      <c r="E20" s="8"/>
      <c r="F20" s="8" t="n">
        <v>0</v>
      </c>
      <c r="G20" s="8"/>
    </row>
    <row r="21" customFormat="false" ht="15" hidden="false" customHeight="false" outlineLevel="0" collapsed="false">
      <c r="A21" s="8" t="s">
        <v>101</v>
      </c>
      <c r="B21" s="8" t="s">
        <v>102</v>
      </c>
      <c r="C21" s="8" t="s">
        <v>103</v>
      </c>
      <c r="D21" s="8" t="s">
        <v>104</v>
      </c>
      <c r="E21" s="8"/>
      <c r="F21" s="8"/>
      <c r="G21" s="8"/>
    </row>
    <row r="22" customFormat="false" ht="15" hidden="false" customHeight="false" outlineLevel="0" collapsed="false">
      <c r="A22" s="8" t="s">
        <v>105</v>
      </c>
      <c r="B22" s="8" t="s">
        <v>106</v>
      </c>
      <c r="C22" s="8" t="s">
        <v>107</v>
      </c>
      <c r="D22" s="8"/>
      <c r="E22" s="8"/>
      <c r="F22" s="8" t="n">
        <v>0</v>
      </c>
      <c r="G22" s="8"/>
    </row>
    <row r="24" customFormat="false" ht="15" hidden="false" customHeight="false" outlineLevel="0" collapsed="false">
      <c r="A24" s="9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0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7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4" min="13" style="0" width="11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21" min="18" style="0" width="9"/>
    <col collapsed="false" customWidth="true" hidden="false" outlineLevel="0" max="22" min="22" style="0" width="10"/>
    <col collapsed="false" customWidth="true" hidden="false" outlineLevel="0" max="23" min="23" style="0" width="13"/>
    <col collapsed="false" customWidth="true" hidden="false" outlineLevel="0" max="24" min="24" style="0" width="9"/>
    <col collapsed="false" customWidth="true" hidden="false" outlineLevel="0" max="25" min="25" style="0" width="12"/>
    <col collapsed="false" customWidth="true" hidden="false" outlineLevel="0" max="26" min="26" style="0" width="18"/>
    <col collapsed="false" customWidth="true" hidden="false" outlineLevel="0" max="27" min="27" style="0" width="9"/>
    <col collapsed="false" customWidth="true" hidden="false" outlineLevel="0" max="28" min="28" style="0" width="15"/>
    <col collapsed="false" customWidth="true" hidden="false" outlineLevel="0" max="30" min="29" style="0" width="14"/>
    <col collapsed="false" customWidth="true" hidden="false" outlineLevel="0" max="31" min="31" style="0" width="20"/>
    <col collapsed="false" customWidth="true" hidden="false" outlineLevel="0" max="32" min="32" style="0" width="28"/>
  </cols>
  <sheetData>
    <row r="1" customFormat="false" ht="17.35" hidden="false" customHeight="false" outlineLevel="0" collapsed="false">
      <c r="A1" s="6" t="s">
        <v>109</v>
      </c>
    </row>
    <row r="2" customFormat="false" ht="75" hidden="false" customHeight="true" outlineLevel="0" collapsed="false">
      <c r="A2" s="7" t="s">
        <v>110</v>
      </c>
      <c r="B2" s="7" t="s">
        <v>111</v>
      </c>
      <c r="C2" s="7" t="s">
        <v>112</v>
      </c>
      <c r="D2" s="7" t="s">
        <v>113</v>
      </c>
      <c r="E2" s="7" t="s">
        <v>114</v>
      </c>
      <c r="F2" s="7" t="s">
        <v>115</v>
      </c>
      <c r="G2" s="7" t="s">
        <v>116</v>
      </c>
      <c r="H2" s="7" t="s">
        <v>28</v>
      </c>
      <c r="I2" s="7" t="s">
        <v>27</v>
      </c>
      <c r="J2" s="7" t="s">
        <v>117</v>
      </c>
      <c r="K2" s="7" t="s">
        <v>118</v>
      </c>
      <c r="L2" s="7" t="s">
        <v>119</v>
      </c>
      <c r="M2" s="7" t="s">
        <v>120</v>
      </c>
      <c r="N2" s="7" t="s">
        <v>121</v>
      </c>
      <c r="O2" s="7" t="s">
        <v>122</v>
      </c>
      <c r="P2" s="7" t="s">
        <v>123</v>
      </c>
      <c r="Q2" s="7" t="s">
        <v>124</v>
      </c>
      <c r="R2" s="7" t="s">
        <v>125</v>
      </c>
      <c r="S2" s="7" t="s">
        <v>126</v>
      </c>
      <c r="T2" s="7" t="s">
        <v>127</v>
      </c>
      <c r="U2" s="7" t="s">
        <v>128</v>
      </c>
      <c r="V2" s="7" t="s">
        <v>129</v>
      </c>
      <c r="W2" s="7" t="s">
        <v>130</v>
      </c>
      <c r="X2" s="7" t="s">
        <v>131</v>
      </c>
      <c r="Y2" s="7" t="s">
        <v>132</v>
      </c>
      <c r="Z2" s="7" t="s">
        <v>133</v>
      </c>
      <c r="AA2" s="7" t="s">
        <v>134</v>
      </c>
      <c r="AB2" s="7" t="s">
        <v>135</v>
      </c>
      <c r="AC2" s="7" t="s">
        <v>136</v>
      </c>
      <c r="AD2" s="7" t="s">
        <v>137</v>
      </c>
      <c r="AE2" s="7" t="s">
        <v>138</v>
      </c>
      <c r="AF2" s="7" t="s">
        <v>139</v>
      </c>
    </row>
    <row r="3" customFormat="false" ht="15" hidden="false" customHeight="false" outlineLevel="0" collapsed="false">
      <c r="A3" s="10" t="str">
        <f aca="false">IF(B3="","",ROW()-2)</f>
        <v/>
      </c>
      <c r="B3" s="11"/>
      <c r="C3" s="11"/>
      <c r="D3" s="11"/>
      <c r="E3" s="11"/>
      <c r="F3" s="11"/>
      <c r="G3" s="11"/>
      <c r="H3" s="10" t="str">
        <f aca="false">IF(G3="","",IFERROR(INDEX('اندیکاسیون‌ها'!$C$3:$C$22,MATCH(G3,'اندیکاسیون‌ها'!$A$3:$A$22,0)),"کد نامعتبر"))</f>
        <v/>
      </c>
      <c r="I3" s="10" t="str">
        <f aca="false">IF(G3="","",IFERROR(INDEX('اندیکاسیون‌ها'!$B$3:$B$22,MATCH(G3,'اندیکاسیون‌ها'!$A$3:$A$22,0)),""))</f>
        <v/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0" t="str">
        <f aca="false">IF(G3="","",IFERROR(INDEX('اندیکاسیون‌ها'!$F$3:$F$22,MATCH(G3,'اندیکاسیون‌ها'!$A$3:$A$22,0)),""))</f>
        <v/>
      </c>
      <c r="V3" s="11"/>
      <c r="W3" s="12"/>
      <c r="X3" s="10" t="str">
        <f aca="false">IF(OR(B3="",IF(V3&lt;&gt;"",V3,U3)=""),"",MAX(0,N(R3)-N(T3)-IF(V3&lt;&gt;"",V3,U3)))</f>
        <v/>
      </c>
      <c r="Y3" s="10" t="str">
        <f aca="false">IF(B3="","",N(R3)-N(S3)-N(T3))</f>
        <v/>
      </c>
      <c r="Z3" s="10" t="str">
        <f aca="false">IF(B3="","",IF(OR(G3="",G3="U0"),"اندیکاسیون نامشخص",IF(I3="بدون اندیکاسیون","بدون اندیکاسیون",IF(AND(I3="خارج از جدول",P3&lt;&gt;"بله"),"خارج از جدول بدون تأیید",IF(L3&lt;&gt;"بله","معیار مستند نشده",IF(N(X3)&gt;0,"مطابق، دوز مازاد","مطابق"))))))</f>
        <v/>
      </c>
      <c r="AA3" s="13" t="str">
        <f aca="false">IF(B3="","",IFERROR(COUNTIF(J3:Q3,"بله")/(COUNTIF(J3:Q3,"بله")+COUNTIF(J3:Q3,"خیر")),""))</f>
        <v/>
      </c>
      <c r="AB3" s="14" t="str">
        <f aca="false">IF(B3="","",IF(Z3="مطابق",0,IF(Z3="مطابق، دوز مازاد",N(X3)*N(W3),(N(R3)-N(T3))*N(W3))))</f>
        <v/>
      </c>
      <c r="AC3" s="12"/>
      <c r="AD3" s="12"/>
      <c r="AE3" s="10" t="str">
        <f aca="false">IF(B3="","",IF(AND(N(AC3)&gt;0,NOT(OR(Z3="مطابق",Z3="مطابق، دوز مازاد"))),"ریسک کسورات",IF(AND(OR(Z3="مطابق",Z3="مطابق، دوز مازاد"),N(AC3)=0,D3&lt;&gt;"آزاد",D3&lt;&gt;""),"بررسی امکان دریافت از بیمه","")))</f>
        <v/>
      </c>
      <c r="AF3" s="11"/>
    </row>
    <row r="4" customFormat="false" ht="15" hidden="false" customHeight="false" outlineLevel="0" collapsed="false">
      <c r="A4" s="10" t="str">
        <f aca="false">IF(B4="","",ROW()-2)</f>
        <v/>
      </c>
      <c r="B4" s="11"/>
      <c r="C4" s="11"/>
      <c r="D4" s="11"/>
      <c r="E4" s="11"/>
      <c r="F4" s="11"/>
      <c r="G4" s="11"/>
      <c r="H4" s="10" t="str">
        <f aca="false">IF(G4="","",IFERROR(INDEX('اندیکاسیون‌ها'!$C$3:$C$22,MATCH(G4,'اندیکاسیون‌ها'!$A$3:$A$22,0)),"کد نامعتبر"))</f>
        <v/>
      </c>
      <c r="I4" s="10" t="str">
        <f aca="false">IF(G4="","",IFERROR(INDEX('اندیکاسیون‌ها'!$B$3:$B$22,MATCH(G4,'اندیکاسیون‌ها'!$A$3:$A$22,0)),""))</f>
        <v/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0" t="str">
        <f aca="false">IF(G4="","",IFERROR(INDEX('اندیکاسیون‌ها'!$F$3:$F$22,MATCH(G4,'اندیکاسیون‌ها'!$A$3:$A$22,0)),""))</f>
        <v/>
      </c>
      <c r="V4" s="11"/>
      <c r="W4" s="12"/>
      <c r="X4" s="10" t="str">
        <f aca="false">IF(OR(B4="",IF(V4&lt;&gt;"",V4,U4)=""),"",MAX(0,N(R4)-N(T4)-IF(V4&lt;&gt;"",V4,U4)))</f>
        <v/>
      </c>
      <c r="Y4" s="10" t="str">
        <f aca="false">IF(B4="","",N(R4)-N(S4)-N(T4))</f>
        <v/>
      </c>
      <c r="Z4" s="10" t="str">
        <f aca="false">IF(B4="","",IF(OR(G4="",G4="U0"),"اندیکاسیون نامشخص",IF(I4="بدون اندیکاسیون","بدون اندیکاسیون",IF(AND(I4="خارج از جدول",P4&lt;&gt;"بله"),"خارج از جدول بدون تأیید",IF(L4&lt;&gt;"بله","معیار مستند نشده",IF(N(X4)&gt;0,"مطابق، دوز مازاد","مطابق"))))))</f>
        <v/>
      </c>
      <c r="AA4" s="13" t="str">
        <f aca="false">IF(B4="","",IFERROR(COUNTIF(J4:Q4,"بله")/(COUNTIF(J4:Q4,"بله")+COUNTIF(J4:Q4,"خیر")),""))</f>
        <v/>
      </c>
      <c r="AB4" s="14" t="str">
        <f aca="false">IF(B4="","",IF(Z4="مطابق",0,IF(Z4="مطابق، دوز مازاد",N(X4)*N(W4),(N(R4)-N(T4))*N(W4))))</f>
        <v/>
      </c>
      <c r="AC4" s="12"/>
      <c r="AD4" s="12"/>
      <c r="AE4" s="10" t="str">
        <f aca="false">IF(B4="","",IF(AND(N(AC4)&gt;0,NOT(OR(Z4="مطابق",Z4="مطابق، دوز مازاد"))),"ریسک کسورات",IF(AND(OR(Z4="مطابق",Z4="مطابق، دوز مازاد"),N(AC4)=0,D4&lt;&gt;"آزاد",D4&lt;&gt;""),"بررسی امکان دریافت از بیمه","")))</f>
        <v/>
      </c>
      <c r="AF4" s="11"/>
    </row>
    <row r="5" customFormat="false" ht="15" hidden="false" customHeight="false" outlineLevel="0" collapsed="false">
      <c r="A5" s="10" t="str">
        <f aca="false">IF(B5="","",ROW()-2)</f>
        <v/>
      </c>
      <c r="B5" s="11"/>
      <c r="C5" s="11"/>
      <c r="D5" s="11"/>
      <c r="E5" s="11"/>
      <c r="F5" s="11"/>
      <c r="G5" s="11"/>
      <c r="H5" s="10" t="str">
        <f aca="false">IF(G5="","",IFERROR(INDEX('اندیکاسیون‌ها'!$C$3:$C$22,MATCH(G5,'اندیکاسیون‌ها'!$A$3:$A$22,0)),"کد نامعتبر"))</f>
        <v/>
      </c>
      <c r="I5" s="10" t="str">
        <f aca="false">IF(G5="","",IFERROR(INDEX('اندیکاسیون‌ها'!$B$3:$B$22,MATCH(G5,'اندیکاسیون‌ها'!$A$3:$A$22,0)),""))</f>
        <v/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0" t="str">
        <f aca="false">IF(G5="","",IFERROR(INDEX('اندیکاسیون‌ها'!$F$3:$F$22,MATCH(G5,'اندیکاسیون‌ها'!$A$3:$A$22,0)),""))</f>
        <v/>
      </c>
      <c r="V5" s="11"/>
      <c r="W5" s="12"/>
      <c r="X5" s="10" t="str">
        <f aca="false">IF(OR(B5="",IF(V5&lt;&gt;"",V5,U5)=""),"",MAX(0,N(R5)-N(T5)-IF(V5&lt;&gt;"",V5,U5)))</f>
        <v/>
      </c>
      <c r="Y5" s="10" t="str">
        <f aca="false">IF(B5="","",N(R5)-N(S5)-N(T5))</f>
        <v/>
      </c>
      <c r="Z5" s="10" t="str">
        <f aca="false">IF(B5="","",IF(OR(G5="",G5="U0"),"اندیکاسیون نامشخص",IF(I5="بدون اندیکاسیون","بدون اندیکاسیون",IF(AND(I5="خارج از جدول",P5&lt;&gt;"بله"),"خارج از جدول بدون تأیید",IF(L5&lt;&gt;"بله","معیار مستند نشده",IF(N(X5)&gt;0,"مطابق، دوز مازاد","مطابق"))))))</f>
        <v/>
      </c>
      <c r="AA5" s="13" t="str">
        <f aca="false">IF(B5="","",IFERROR(COUNTIF(J5:Q5,"بله")/(COUNTIF(J5:Q5,"بله")+COUNTIF(J5:Q5,"خیر")),""))</f>
        <v/>
      </c>
      <c r="AB5" s="14" t="str">
        <f aca="false">IF(B5="","",IF(Z5="مطابق",0,IF(Z5="مطابق، دوز مازاد",N(X5)*N(W5),(N(R5)-N(T5))*N(W5))))</f>
        <v/>
      </c>
      <c r="AC5" s="12"/>
      <c r="AD5" s="12"/>
      <c r="AE5" s="10" t="str">
        <f aca="false">IF(B5="","",IF(AND(N(AC5)&gt;0,NOT(OR(Z5="مطابق",Z5="مطابق، دوز مازاد"))),"ریسک کسورات",IF(AND(OR(Z5="مطابق",Z5="مطابق، دوز مازاد"),N(AC5)=0,D5&lt;&gt;"آزاد",D5&lt;&gt;""),"بررسی امکان دریافت از بیمه","")))</f>
        <v/>
      </c>
      <c r="AF5" s="11"/>
    </row>
    <row r="6" customFormat="false" ht="15" hidden="false" customHeight="false" outlineLevel="0" collapsed="false">
      <c r="A6" s="10" t="str">
        <f aca="false">IF(B6="","",ROW()-2)</f>
        <v/>
      </c>
      <c r="B6" s="11"/>
      <c r="C6" s="11"/>
      <c r="D6" s="11"/>
      <c r="E6" s="11"/>
      <c r="F6" s="11"/>
      <c r="G6" s="11"/>
      <c r="H6" s="10" t="str">
        <f aca="false">IF(G6="","",IFERROR(INDEX('اندیکاسیون‌ها'!$C$3:$C$22,MATCH(G6,'اندیکاسیون‌ها'!$A$3:$A$22,0)),"کد نامعتبر"))</f>
        <v/>
      </c>
      <c r="I6" s="10" t="str">
        <f aca="false">IF(G6="","",IFERROR(INDEX('اندیکاسیون‌ها'!$B$3:$B$22,MATCH(G6,'اندیکاسیون‌ها'!$A$3:$A$22,0)),""))</f>
        <v/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0" t="str">
        <f aca="false">IF(G6="","",IFERROR(INDEX('اندیکاسیون‌ها'!$F$3:$F$22,MATCH(G6,'اندیکاسیون‌ها'!$A$3:$A$22,0)),""))</f>
        <v/>
      </c>
      <c r="V6" s="11"/>
      <c r="W6" s="12"/>
      <c r="X6" s="10" t="str">
        <f aca="false">IF(OR(B6="",IF(V6&lt;&gt;"",V6,U6)=""),"",MAX(0,N(R6)-N(T6)-IF(V6&lt;&gt;"",V6,U6)))</f>
        <v/>
      </c>
      <c r="Y6" s="10" t="str">
        <f aca="false">IF(B6="","",N(R6)-N(S6)-N(T6))</f>
        <v/>
      </c>
      <c r="Z6" s="10" t="str">
        <f aca="false">IF(B6="","",IF(OR(G6="",G6="U0"),"اندیکاسیون نامشخص",IF(I6="بدون اندیکاسیون","بدون اندیکاسیون",IF(AND(I6="خارج از جدول",P6&lt;&gt;"بله"),"خارج از جدول بدون تأیید",IF(L6&lt;&gt;"بله","معیار مستند نشده",IF(N(X6)&gt;0,"مطابق، دوز مازاد","مطابق"))))))</f>
        <v/>
      </c>
      <c r="AA6" s="13" t="str">
        <f aca="false">IF(B6="","",IFERROR(COUNTIF(J6:Q6,"بله")/(COUNTIF(J6:Q6,"بله")+COUNTIF(J6:Q6,"خیر")),""))</f>
        <v/>
      </c>
      <c r="AB6" s="14" t="str">
        <f aca="false">IF(B6="","",IF(Z6="مطابق",0,IF(Z6="مطابق، دوز مازاد",N(X6)*N(W6),(N(R6)-N(T6))*N(W6))))</f>
        <v/>
      </c>
      <c r="AC6" s="12"/>
      <c r="AD6" s="12"/>
      <c r="AE6" s="10" t="str">
        <f aca="false">IF(B6="","",IF(AND(N(AC6)&gt;0,NOT(OR(Z6="مطابق",Z6="مطابق، دوز مازاد"))),"ریسک کسورات",IF(AND(OR(Z6="مطابق",Z6="مطابق، دوز مازاد"),N(AC6)=0,D6&lt;&gt;"آزاد",D6&lt;&gt;""),"بررسی امکان دریافت از بیمه","")))</f>
        <v/>
      </c>
      <c r="AF6" s="11"/>
    </row>
    <row r="7" customFormat="false" ht="15" hidden="false" customHeight="false" outlineLevel="0" collapsed="false">
      <c r="A7" s="10" t="str">
        <f aca="false">IF(B7="","",ROW()-2)</f>
        <v/>
      </c>
      <c r="B7" s="11"/>
      <c r="C7" s="11"/>
      <c r="D7" s="11"/>
      <c r="E7" s="11"/>
      <c r="F7" s="11"/>
      <c r="G7" s="11"/>
      <c r="H7" s="10" t="str">
        <f aca="false">IF(G7="","",IFERROR(INDEX('اندیکاسیون‌ها'!$C$3:$C$22,MATCH(G7,'اندیکاسیون‌ها'!$A$3:$A$22,0)),"کد نامعتبر"))</f>
        <v/>
      </c>
      <c r="I7" s="10" t="str">
        <f aca="false">IF(G7="","",IFERROR(INDEX('اندیکاسیون‌ها'!$B$3:$B$22,MATCH(G7,'اندیکاسیون‌ها'!$A$3:$A$22,0)),""))</f>
        <v/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0" t="str">
        <f aca="false">IF(G7="","",IFERROR(INDEX('اندیکاسیون‌ها'!$F$3:$F$22,MATCH(G7,'اندیکاسیون‌ها'!$A$3:$A$22,0)),""))</f>
        <v/>
      </c>
      <c r="V7" s="11"/>
      <c r="W7" s="12"/>
      <c r="X7" s="10" t="str">
        <f aca="false">IF(OR(B7="",IF(V7&lt;&gt;"",V7,U7)=""),"",MAX(0,N(R7)-N(T7)-IF(V7&lt;&gt;"",V7,U7)))</f>
        <v/>
      </c>
      <c r="Y7" s="10" t="str">
        <f aca="false">IF(B7="","",N(R7)-N(S7)-N(T7))</f>
        <v/>
      </c>
      <c r="Z7" s="10" t="str">
        <f aca="false">IF(B7="","",IF(OR(G7="",G7="U0"),"اندیکاسیون نامشخص",IF(I7="بدون اندیکاسیون","بدون اندیکاسیون",IF(AND(I7="خارج از جدول",P7&lt;&gt;"بله"),"خارج از جدول بدون تأیید",IF(L7&lt;&gt;"بله","معیار مستند نشده",IF(N(X7)&gt;0,"مطابق، دوز مازاد","مطابق"))))))</f>
        <v/>
      </c>
      <c r="AA7" s="13" t="str">
        <f aca="false">IF(B7="","",IFERROR(COUNTIF(J7:Q7,"بله")/(COUNTIF(J7:Q7,"بله")+COUNTIF(J7:Q7,"خیر")),""))</f>
        <v/>
      </c>
      <c r="AB7" s="14" t="str">
        <f aca="false">IF(B7="","",IF(Z7="مطابق",0,IF(Z7="مطابق، دوز مازاد",N(X7)*N(W7),(N(R7)-N(T7))*N(W7))))</f>
        <v/>
      </c>
      <c r="AC7" s="12"/>
      <c r="AD7" s="12"/>
      <c r="AE7" s="10" t="str">
        <f aca="false">IF(B7="","",IF(AND(N(AC7)&gt;0,NOT(OR(Z7="مطابق",Z7="مطابق، دوز مازاد"))),"ریسک کسورات",IF(AND(OR(Z7="مطابق",Z7="مطابق، دوز مازاد"),N(AC7)=0,D7&lt;&gt;"آزاد",D7&lt;&gt;""),"بررسی امکان دریافت از بیمه","")))</f>
        <v/>
      </c>
      <c r="AF7" s="11"/>
    </row>
    <row r="8" customFormat="false" ht="15" hidden="false" customHeight="false" outlineLevel="0" collapsed="false">
      <c r="A8" s="10" t="str">
        <f aca="false">IF(B8="","",ROW()-2)</f>
        <v/>
      </c>
      <c r="B8" s="11"/>
      <c r="C8" s="11"/>
      <c r="D8" s="11"/>
      <c r="E8" s="11"/>
      <c r="F8" s="11"/>
      <c r="G8" s="11"/>
      <c r="H8" s="10" t="str">
        <f aca="false">IF(G8="","",IFERROR(INDEX('اندیکاسیون‌ها'!$C$3:$C$22,MATCH(G8,'اندیکاسیون‌ها'!$A$3:$A$22,0)),"کد نامعتبر"))</f>
        <v/>
      </c>
      <c r="I8" s="10" t="str">
        <f aca="false">IF(G8="","",IFERROR(INDEX('اندیکاسیون‌ها'!$B$3:$B$22,MATCH(G8,'اندیکاسیون‌ها'!$A$3:$A$22,0)),""))</f>
        <v/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0" t="str">
        <f aca="false">IF(G8="","",IFERROR(INDEX('اندیکاسیون‌ها'!$F$3:$F$22,MATCH(G8,'اندیکاسیون‌ها'!$A$3:$A$22,0)),""))</f>
        <v/>
      </c>
      <c r="V8" s="11"/>
      <c r="W8" s="12"/>
      <c r="X8" s="10" t="str">
        <f aca="false">IF(OR(B8="",IF(V8&lt;&gt;"",V8,U8)=""),"",MAX(0,N(R8)-N(T8)-IF(V8&lt;&gt;"",V8,U8)))</f>
        <v/>
      </c>
      <c r="Y8" s="10" t="str">
        <f aca="false">IF(B8="","",N(R8)-N(S8)-N(T8))</f>
        <v/>
      </c>
      <c r="Z8" s="10" t="str">
        <f aca="false">IF(B8="","",IF(OR(G8="",G8="U0"),"اندیکاسیون نامشخص",IF(I8="بدون اندیکاسیون","بدون اندیکاسیون",IF(AND(I8="خارج از جدول",P8&lt;&gt;"بله"),"خارج از جدول بدون تأیید",IF(L8&lt;&gt;"بله","معیار مستند نشده",IF(N(X8)&gt;0,"مطابق، دوز مازاد","مطابق"))))))</f>
        <v/>
      </c>
      <c r="AA8" s="13" t="str">
        <f aca="false">IF(B8="","",IFERROR(COUNTIF(J8:Q8,"بله")/(COUNTIF(J8:Q8,"بله")+COUNTIF(J8:Q8,"خیر")),""))</f>
        <v/>
      </c>
      <c r="AB8" s="14" t="str">
        <f aca="false">IF(B8="","",IF(Z8="مطابق",0,IF(Z8="مطابق، دوز مازاد",N(X8)*N(W8),(N(R8)-N(T8))*N(W8))))</f>
        <v/>
      </c>
      <c r="AC8" s="12"/>
      <c r="AD8" s="12"/>
      <c r="AE8" s="10" t="str">
        <f aca="false">IF(B8="","",IF(AND(N(AC8)&gt;0,NOT(OR(Z8="مطابق",Z8="مطابق، دوز مازاد"))),"ریسک کسورات",IF(AND(OR(Z8="مطابق",Z8="مطابق، دوز مازاد"),N(AC8)=0,D8&lt;&gt;"آزاد",D8&lt;&gt;""),"بررسی امکان دریافت از بیمه","")))</f>
        <v/>
      </c>
      <c r="AF8" s="11"/>
    </row>
    <row r="9" customFormat="false" ht="15" hidden="false" customHeight="false" outlineLevel="0" collapsed="false">
      <c r="A9" s="10" t="str">
        <f aca="false">IF(B9="","",ROW()-2)</f>
        <v/>
      </c>
      <c r="B9" s="11"/>
      <c r="C9" s="11"/>
      <c r="D9" s="11"/>
      <c r="E9" s="11"/>
      <c r="F9" s="11"/>
      <c r="G9" s="11"/>
      <c r="H9" s="10" t="str">
        <f aca="false">IF(G9="","",IFERROR(INDEX('اندیکاسیون‌ها'!$C$3:$C$22,MATCH(G9,'اندیکاسیون‌ها'!$A$3:$A$22,0)),"کد نامعتبر"))</f>
        <v/>
      </c>
      <c r="I9" s="10" t="str">
        <f aca="false">IF(G9="","",IFERROR(INDEX('اندیکاسیون‌ها'!$B$3:$B$22,MATCH(G9,'اندیکاسیون‌ها'!$A$3:$A$22,0)),""))</f>
        <v/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0" t="str">
        <f aca="false">IF(G9="","",IFERROR(INDEX('اندیکاسیون‌ها'!$F$3:$F$22,MATCH(G9,'اندیکاسیون‌ها'!$A$3:$A$22,0)),""))</f>
        <v/>
      </c>
      <c r="V9" s="11"/>
      <c r="W9" s="12"/>
      <c r="X9" s="10" t="str">
        <f aca="false">IF(OR(B9="",IF(V9&lt;&gt;"",V9,U9)=""),"",MAX(0,N(R9)-N(T9)-IF(V9&lt;&gt;"",V9,U9)))</f>
        <v/>
      </c>
      <c r="Y9" s="10" t="str">
        <f aca="false">IF(B9="","",N(R9)-N(S9)-N(T9))</f>
        <v/>
      </c>
      <c r="Z9" s="10" t="str">
        <f aca="false">IF(B9="","",IF(OR(G9="",G9="U0"),"اندیکاسیون نامشخص",IF(I9="بدون اندیکاسیون","بدون اندیکاسیون",IF(AND(I9="خارج از جدول",P9&lt;&gt;"بله"),"خارج از جدول بدون تأیید",IF(L9&lt;&gt;"بله","معیار مستند نشده",IF(N(X9)&gt;0,"مطابق، دوز مازاد","مطابق"))))))</f>
        <v/>
      </c>
      <c r="AA9" s="13" t="str">
        <f aca="false">IF(B9="","",IFERROR(COUNTIF(J9:Q9,"بله")/(COUNTIF(J9:Q9,"بله")+COUNTIF(J9:Q9,"خیر")),""))</f>
        <v/>
      </c>
      <c r="AB9" s="14" t="str">
        <f aca="false">IF(B9="","",IF(Z9="مطابق",0,IF(Z9="مطابق، دوز مازاد",N(X9)*N(W9),(N(R9)-N(T9))*N(W9))))</f>
        <v/>
      </c>
      <c r="AC9" s="12"/>
      <c r="AD9" s="12"/>
      <c r="AE9" s="10" t="str">
        <f aca="false">IF(B9="","",IF(AND(N(AC9)&gt;0,NOT(OR(Z9="مطابق",Z9="مطابق، دوز مازاد"))),"ریسک کسورات",IF(AND(OR(Z9="مطابق",Z9="مطابق، دوز مازاد"),N(AC9)=0,D9&lt;&gt;"آزاد",D9&lt;&gt;""),"بررسی امکان دریافت از بیمه","")))</f>
        <v/>
      </c>
      <c r="AF9" s="11"/>
    </row>
    <row r="10" customFormat="false" ht="15" hidden="false" customHeight="false" outlineLevel="0" collapsed="false">
      <c r="A10" s="10" t="str">
        <f aca="false">IF(B10="","",ROW()-2)</f>
        <v/>
      </c>
      <c r="B10" s="11"/>
      <c r="C10" s="11"/>
      <c r="D10" s="11"/>
      <c r="E10" s="11"/>
      <c r="F10" s="11"/>
      <c r="G10" s="11"/>
      <c r="H10" s="10" t="str">
        <f aca="false">IF(G10="","",IFERROR(INDEX('اندیکاسیون‌ها'!$C$3:$C$22,MATCH(G10,'اندیکاسیون‌ها'!$A$3:$A$22,0)),"کد نامعتبر"))</f>
        <v/>
      </c>
      <c r="I10" s="10" t="str">
        <f aca="false">IF(G10="","",IFERROR(INDEX('اندیکاسیون‌ها'!$B$3:$B$22,MATCH(G10,'اندیکاسیون‌ها'!$A$3:$A$22,0)),""))</f>
        <v/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0" t="str">
        <f aca="false">IF(G10="","",IFERROR(INDEX('اندیکاسیون‌ها'!$F$3:$F$22,MATCH(G10,'اندیکاسیون‌ها'!$A$3:$A$22,0)),""))</f>
        <v/>
      </c>
      <c r="V10" s="11"/>
      <c r="W10" s="12"/>
      <c r="X10" s="10" t="str">
        <f aca="false">IF(OR(B10="",IF(V10&lt;&gt;"",V10,U10)=""),"",MAX(0,N(R10)-N(T10)-IF(V10&lt;&gt;"",V10,U10)))</f>
        <v/>
      </c>
      <c r="Y10" s="10" t="str">
        <f aca="false">IF(B10="","",N(R10)-N(S10)-N(T10))</f>
        <v/>
      </c>
      <c r="Z10" s="10" t="str">
        <f aca="false">IF(B10="","",IF(OR(G10="",G10="U0"),"اندیکاسیون نامشخص",IF(I10="بدون اندیکاسیون","بدون اندیکاسیون",IF(AND(I10="خارج از جدول",P10&lt;&gt;"بله"),"خارج از جدول بدون تأیید",IF(L10&lt;&gt;"بله","معیار مستند نشده",IF(N(X10)&gt;0,"مطابق، دوز مازاد","مطابق"))))))</f>
        <v/>
      </c>
      <c r="AA10" s="13" t="str">
        <f aca="false">IF(B10="","",IFERROR(COUNTIF(J10:Q10,"بله")/(COUNTIF(J10:Q10,"بله")+COUNTIF(J10:Q10,"خیر")),""))</f>
        <v/>
      </c>
      <c r="AB10" s="14" t="str">
        <f aca="false">IF(B10="","",IF(Z10="مطابق",0,IF(Z10="مطابق، دوز مازاد",N(X10)*N(W10),(N(R10)-N(T10))*N(W10))))</f>
        <v/>
      </c>
      <c r="AC10" s="12"/>
      <c r="AD10" s="12"/>
      <c r="AE10" s="10" t="str">
        <f aca="false">IF(B10="","",IF(AND(N(AC10)&gt;0,NOT(OR(Z10="مطابق",Z10="مطابق، دوز مازاد"))),"ریسک کسورات",IF(AND(OR(Z10="مطابق",Z10="مطابق، دوز مازاد"),N(AC10)=0,D10&lt;&gt;"آزاد",D10&lt;&gt;""),"بررسی امکان دریافت از بیمه","")))</f>
        <v/>
      </c>
      <c r="AF10" s="11"/>
    </row>
    <row r="11" customFormat="false" ht="15" hidden="false" customHeight="false" outlineLevel="0" collapsed="false">
      <c r="A11" s="10" t="str">
        <f aca="false">IF(B11="","",ROW()-2)</f>
        <v/>
      </c>
      <c r="B11" s="11"/>
      <c r="C11" s="11"/>
      <c r="D11" s="11"/>
      <c r="E11" s="11"/>
      <c r="F11" s="11"/>
      <c r="G11" s="11"/>
      <c r="H11" s="10" t="str">
        <f aca="false">IF(G11="","",IFERROR(INDEX('اندیکاسیون‌ها'!$C$3:$C$22,MATCH(G11,'اندیکاسیون‌ها'!$A$3:$A$22,0)),"کد نامعتبر"))</f>
        <v/>
      </c>
      <c r="I11" s="10" t="str">
        <f aca="false">IF(G11="","",IFERROR(INDEX('اندیکاسیون‌ها'!$B$3:$B$22,MATCH(G11,'اندیکاسیون‌ها'!$A$3:$A$22,0)),""))</f>
        <v/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0" t="str">
        <f aca="false">IF(G11="","",IFERROR(INDEX('اندیکاسیون‌ها'!$F$3:$F$22,MATCH(G11,'اندیکاسیون‌ها'!$A$3:$A$22,0)),""))</f>
        <v/>
      </c>
      <c r="V11" s="11"/>
      <c r="W11" s="12"/>
      <c r="X11" s="10" t="str">
        <f aca="false">IF(OR(B11="",IF(V11&lt;&gt;"",V11,U11)=""),"",MAX(0,N(R11)-N(T11)-IF(V11&lt;&gt;"",V11,U11)))</f>
        <v/>
      </c>
      <c r="Y11" s="10" t="str">
        <f aca="false">IF(B11="","",N(R11)-N(S11)-N(T11))</f>
        <v/>
      </c>
      <c r="Z11" s="10" t="str">
        <f aca="false">IF(B11="","",IF(OR(G11="",G11="U0"),"اندیکاسیون نامشخص",IF(I11="بدون اندیکاسیون","بدون اندیکاسیون",IF(AND(I11="خارج از جدول",P11&lt;&gt;"بله"),"خارج از جدول بدون تأیید",IF(L11&lt;&gt;"بله","معیار مستند نشده",IF(N(X11)&gt;0,"مطابق، دوز مازاد","مطابق"))))))</f>
        <v/>
      </c>
      <c r="AA11" s="13" t="str">
        <f aca="false">IF(B11="","",IFERROR(COUNTIF(J11:Q11,"بله")/(COUNTIF(J11:Q11,"بله")+COUNTIF(J11:Q11,"خیر")),""))</f>
        <v/>
      </c>
      <c r="AB11" s="14" t="str">
        <f aca="false">IF(B11="","",IF(Z11="مطابق",0,IF(Z11="مطابق، دوز مازاد",N(X11)*N(W11),(N(R11)-N(T11))*N(W11))))</f>
        <v/>
      </c>
      <c r="AC11" s="12"/>
      <c r="AD11" s="12"/>
      <c r="AE11" s="10" t="str">
        <f aca="false">IF(B11="","",IF(AND(N(AC11)&gt;0,NOT(OR(Z11="مطابق",Z11="مطابق، دوز مازاد"))),"ریسک کسورات",IF(AND(OR(Z11="مطابق",Z11="مطابق، دوز مازاد"),N(AC11)=0,D11&lt;&gt;"آزاد",D11&lt;&gt;""),"بررسی امکان دریافت از بیمه","")))</f>
        <v/>
      </c>
      <c r="AF11" s="11"/>
    </row>
    <row r="12" customFormat="false" ht="15" hidden="false" customHeight="false" outlineLevel="0" collapsed="false">
      <c r="A12" s="10" t="str">
        <f aca="false">IF(B12="","",ROW()-2)</f>
        <v/>
      </c>
      <c r="B12" s="11"/>
      <c r="C12" s="11"/>
      <c r="D12" s="11"/>
      <c r="E12" s="11"/>
      <c r="F12" s="11"/>
      <c r="G12" s="11"/>
      <c r="H12" s="10" t="str">
        <f aca="false">IF(G12="","",IFERROR(INDEX('اندیکاسیون‌ها'!$C$3:$C$22,MATCH(G12,'اندیکاسیون‌ها'!$A$3:$A$22,0)),"کد نامعتبر"))</f>
        <v/>
      </c>
      <c r="I12" s="10" t="str">
        <f aca="false">IF(G12="","",IFERROR(INDEX('اندیکاسیون‌ها'!$B$3:$B$22,MATCH(G12,'اندیکاسیون‌ها'!$A$3:$A$22,0)),""))</f>
        <v/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0" t="str">
        <f aca="false">IF(G12="","",IFERROR(INDEX('اندیکاسیون‌ها'!$F$3:$F$22,MATCH(G12,'اندیکاسیون‌ها'!$A$3:$A$22,0)),""))</f>
        <v/>
      </c>
      <c r="V12" s="11"/>
      <c r="W12" s="12"/>
      <c r="X12" s="10" t="str">
        <f aca="false">IF(OR(B12="",IF(V12&lt;&gt;"",V12,U12)=""),"",MAX(0,N(R12)-N(T12)-IF(V12&lt;&gt;"",V12,U12)))</f>
        <v/>
      </c>
      <c r="Y12" s="10" t="str">
        <f aca="false">IF(B12="","",N(R12)-N(S12)-N(T12))</f>
        <v/>
      </c>
      <c r="Z12" s="10" t="str">
        <f aca="false">IF(B12="","",IF(OR(G12="",G12="U0"),"اندیکاسیون نامشخص",IF(I12="بدون اندیکاسیون","بدون اندیکاسیون",IF(AND(I12="خارج از جدول",P12&lt;&gt;"بله"),"خارج از جدول بدون تأیید",IF(L12&lt;&gt;"بله","معیار مستند نشده",IF(N(X12)&gt;0,"مطابق، دوز مازاد","مطابق"))))))</f>
        <v/>
      </c>
      <c r="AA12" s="13" t="str">
        <f aca="false">IF(B12="","",IFERROR(COUNTIF(J12:Q12,"بله")/(COUNTIF(J12:Q12,"بله")+COUNTIF(J12:Q12,"خیر")),""))</f>
        <v/>
      </c>
      <c r="AB12" s="14" t="str">
        <f aca="false">IF(B12="","",IF(Z12="مطابق",0,IF(Z12="مطابق، دوز مازاد",N(X12)*N(W12),(N(R12)-N(T12))*N(W12))))</f>
        <v/>
      </c>
      <c r="AC12" s="12"/>
      <c r="AD12" s="12"/>
      <c r="AE12" s="10" t="str">
        <f aca="false">IF(B12="","",IF(AND(N(AC12)&gt;0,NOT(OR(Z12="مطابق",Z12="مطابق، دوز مازاد"))),"ریسک کسورات",IF(AND(OR(Z12="مطابق",Z12="مطابق، دوز مازاد"),N(AC12)=0,D12&lt;&gt;"آزاد",D12&lt;&gt;""),"بررسی امکان دریافت از بیمه","")))</f>
        <v/>
      </c>
      <c r="AF12" s="11"/>
    </row>
    <row r="13" customFormat="false" ht="15" hidden="false" customHeight="false" outlineLevel="0" collapsed="false">
      <c r="A13" s="10" t="str">
        <f aca="false">IF(B13="","",ROW()-2)</f>
        <v/>
      </c>
      <c r="B13" s="11"/>
      <c r="C13" s="11"/>
      <c r="D13" s="11"/>
      <c r="E13" s="11"/>
      <c r="F13" s="11"/>
      <c r="G13" s="11"/>
      <c r="H13" s="10" t="str">
        <f aca="false">IF(G13="","",IFERROR(INDEX('اندیکاسیون‌ها'!$C$3:$C$22,MATCH(G13,'اندیکاسیون‌ها'!$A$3:$A$22,0)),"کد نامعتبر"))</f>
        <v/>
      </c>
      <c r="I13" s="10" t="str">
        <f aca="false">IF(G13="","",IFERROR(INDEX('اندیکاسیون‌ها'!$B$3:$B$22,MATCH(G13,'اندیکاسیون‌ها'!$A$3:$A$22,0)),""))</f>
        <v/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0" t="str">
        <f aca="false">IF(G13="","",IFERROR(INDEX('اندیکاسیون‌ها'!$F$3:$F$22,MATCH(G13,'اندیکاسیون‌ها'!$A$3:$A$22,0)),""))</f>
        <v/>
      </c>
      <c r="V13" s="11"/>
      <c r="W13" s="12"/>
      <c r="X13" s="10" t="str">
        <f aca="false">IF(OR(B13="",IF(V13&lt;&gt;"",V13,U13)=""),"",MAX(0,N(R13)-N(T13)-IF(V13&lt;&gt;"",V13,U13)))</f>
        <v/>
      </c>
      <c r="Y13" s="10" t="str">
        <f aca="false">IF(B13="","",N(R13)-N(S13)-N(T13))</f>
        <v/>
      </c>
      <c r="Z13" s="10" t="str">
        <f aca="false">IF(B13="","",IF(OR(G13="",G13="U0"),"اندیکاسیون نامشخص",IF(I13="بدون اندیکاسیون","بدون اندیکاسیون",IF(AND(I13="خارج از جدول",P13&lt;&gt;"بله"),"خارج از جدول بدون تأیید",IF(L13&lt;&gt;"بله","معیار مستند نشده",IF(N(X13)&gt;0,"مطابق، دوز مازاد","مطابق"))))))</f>
        <v/>
      </c>
      <c r="AA13" s="13" t="str">
        <f aca="false">IF(B13="","",IFERROR(COUNTIF(J13:Q13,"بله")/(COUNTIF(J13:Q13,"بله")+COUNTIF(J13:Q13,"خیر")),""))</f>
        <v/>
      </c>
      <c r="AB13" s="14" t="str">
        <f aca="false">IF(B13="","",IF(Z13="مطابق",0,IF(Z13="مطابق، دوز مازاد",N(X13)*N(W13),(N(R13)-N(T13))*N(W13))))</f>
        <v/>
      </c>
      <c r="AC13" s="12"/>
      <c r="AD13" s="12"/>
      <c r="AE13" s="10" t="str">
        <f aca="false">IF(B13="","",IF(AND(N(AC13)&gt;0,NOT(OR(Z13="مطابق",Z13="مطابق، دوز مازاد"))),"ریسک کسورات",IF(AND(OR(Z13="مطابق",Z13="مطابق، دوز مازاد"),N(AC13)=0,D13&lt;&gt;"آزاد",D13&lt;&gt;""),"بررسی امکان دریافت از بیمه","")))</f>
        <v/>
      </c>
      <c r="AF13" s="11"/>
    </row>
    <row r="14" customFormat="false" ht="15" hidden="false" customHeight="false" outlineLevel="0" collapsed="false">
      <c r="A14" s="10" t="str">
        <f aca="false">IF(B14="","",ROW()-2)</f>
        <v/>
      </c>
      <c r="B14" s="11"/>
      <c r="C14" s="11"/>
      <c r="D14" s="11"/>
      <c r="E14" s="11"/>
      <c r="F14" s="11"/>
      <c r="G14" s="11"/>
      <c r="H14" s="10" t="str">
        <f aca="false">IF(G14="","",IFERROR(INDEX('اندیکاسیون‌ها'!$C$3:$C$22,MATCH(G14,'اندیکاسیون‌ها'!$A$3:$A$22,0)),"کد نامعتبر"))</f>
        <v/>
      </c>
      <c r="I14" s="10" t="str">
        <f aca="false">IF(G14="","",IFERROR(INDEX('اندیکاسیون‌ها'!$B$3:$B$22,MATCH(G14,'اندیکاسیون‌ها'!$A$3:$A$22,0)),""))</f>
        <v/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0" t="str">
        <f aca="false">IF(G14="","",IFERROR(INDEX('اندیکاسیون‌ها'!$F$3:$F$22,MATCH(G14,'اندیکاسیون‌ها'!$A$3:$A$22,0)),""))</f>
        <v/>
      </c>
      <c r="V14" s="11"/>
      <c r="W14" s="12"/>
      <c r="X14" s="10" t="str">
        <f aca="false">IF(OR(B14="",IF(V14&lt;&gt;"",V14,U14)=""),"",MAX(0,N(R14)-N(T14)-IF(V14&lt;&gt;"",V14,U14)))</f>
        <v/>
      </c>
      <c r="Y14" s="10" t="str">
        <f aca="false">IF(B14="","",N(R14)-N(S14)-N(T14))</f>
        <v/>
      </c>
      <c r="Z14" s="10" t="str">
        <f aca="false">IF(B14="","",IF(OR(G14="",G14="U0"),"اندیکاسیون نامشخص",IF(I14="بدون اندیکاسیون","بدون اندیکاسیون",IF(AND(I14="خارج از جدول",P14&lt;&gt;"بله"),"خارج از جدول بدون تأیید",IF(L14&lt;&gt;"بله","معیار مستند نشده",IF(N(X14)&gt;0,"مطابق، دوز مازاد","مطابق"))))))</f>
        <v/>
      </c>
      <c r="AA14" s="13" t="str">
        <f aca="false">IF(B14="","",IFERROR(COUNTIF(J14:Q14,"بله")/(COUNTIF(J14:Q14,"بله")+COUNTIF(J14:Q14,"خیر")),""))</f>
        <v/>
      </c>
      <c r="AB14" s="14" t="str">
        <f aca="false">IF(B14="","",IF(Z14="مطابق",0,IF(Z14="مطابق، دوز مازاد",N(X14)*N(W14),(N(R14)-N(T14))*N(W14))))</f>
        <v/>
      </c>
      <c r="AC14" s="12"/>
      <c r="AD14" s="12"/>
      <c r="AE14" s="10" t="str">
        <f aca="false">IF(B14="","",IF(AND(N(AC14)&gt;0,NOT(OR(Z14="مطابق",Z14="مطابق، دوز مازاد"))),"ریسک کسورات",IF(AND(OR(Z14="مطابق",Z14="مطابق، دوز مازاد"),N(AC14)=0,D14&lt;&gt;"آزاد",D14&lt;&gt;""),"بررسی امکان دریافت از بیمه","")))</f>
        <v/>
      </c>
      <c r="AF14" s="11"/>
    </row>
    <row r="15" customFormat="false" ht="15" hidden="false" customHeight="false" outlineLevel="0" collapsed="false">
      <c r="A15" s="10" t="str">
        <f aca="false">IF(B15="","",ROW()-2)</f>
        <v/>
      </c>
      <c r="B15" s="11"/>
      <c r="C15" s="11"/>
      <c r="D15" s="11"/>
      <c r="E15" s="11"/>
      <c r="F15" s="11"/>
      <c r="G15" s="11"/>
      <c r="H15" s="10" t="str">
        <f aca="false">IF(G15="","",IFERROR(INDEX('اندیکاسیون‌ها'!$C$3:$C$22,MATCH(G15,'اندیکاسیون‌ها'!$A$3:$A$22,0)),"کد نامعتبر"))</f>
        <v/>
      </c>
      <c r="I15" s="10" t="str">
        <f aca="false">IF(G15="","",IFERROR(INDEX('اندیکاسیون‌ها'!$B$3:$B$22,MATCH(G15,'اندیکاسیون‌ها'!$A$3:$A$22,0)),""))</f>
        <v/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0" t="str">
        <f aca="false">IF(G15="","",IFERROR(INDEX('اندیکاسیون‌ها'!$F$3:$F$22,MATCH(G15,'اندیکاسیون‌ها'!$A$3:$A$22,0)),""))</f>
        <v/>
      </c>
      <c r="V15" s="11"/>
      <c r="W15" s="12"/>
      <c r="X15" s="10" t="str">
        <f aca="false">IF(OR(B15="",IF(V15&lt;&gt;"",V15,U15)=""),"",MAX(0,N(R15)-N(T15)-IF(V15&lt;&gt;"",V15,U15)))</f>
        <v/>
      </c>
      <c r="Y15" s="10" t="str">
        <f aca="false">IF(B15="","",N(R15)-N(S15)-N(T15))</f>
        <v/>
      </c>
      <c r="Z15" s="10" t="str">
        <f aca="false">IF(B15="","",IF(OR(G15="",G15="U0"),"اندیکاسیون نامشخص",IF(I15="بدون اندیکاسیون","بدون اندیکاسیون",IF(AND(I15="خارج از جدول",P15&lt;&gt;"بله"),"خارج از جدول بدون تأیید",IF(L15&lt;&gt;"بله","معیار مستند نشده",IF(N(X15)&gt;0,"مطابق، دوز مازاد","مطابق"))))))</f>
        <v/>
      </c>
      <c r="AA15" s="13" t="str">
        <f aca="false">IF(B15="","",IFERROR(COUNTIF(J15:Q15,"بله")/(COUNTIF(J15:Q15,"بله")+COUNTIF(J15:Q15,"خیر")),""))</f>
        <v/>
      </c>
      <c r="AB15" s="14" t="str">
        <f aca="false">IF(B15="","",IF(Z15="مطابق",0,IF(Z15="مطابق، دوز مازاد",N(X15)*N(W15),(N(R15)-N(T15))*N(W15))))</f>
        <v/>
      </c>
      <c r="AC15" s="12"/>
      <c r="AD15" s="12"/>
      <c r="AE15" s="10" t="str">
        <f aca="false">IF(B15="","",IF(AND(N(AC15)&gt;0,NOT(OR(Z15="مطابق",Z15="مطابق، دوز مازاد"))),"ریسک کسورات",IF(AND(OR(Z15="مطابق",Z15="مطابق، دوز مازاد"),N(AC15)=0,D15&lt;&gt;"آزاد",D15&lt;&gt;""),"بررسی امکان دریافت از بیمه","")))</f>
        <v/>
      </c>
      <c r="AF15" s="11"/>
    </row>
    <row r="16" customFormat="false" ht="15" hidden="false" customHeight="false" outlineLevel="0" collapsed="false">
      <c r="A16" s="10" t="str">
        <f aca="false">IF(B16="","",ROW()-2)</f>
        <v/>
      </c>
      <c r="B16" s="11"/>
      <c r="C16" s="11"/>
      <c r="D16" s="11"/>
      <c r="E16" s="11"/>
      <c r="F16" s="11"/>
      <c r="G16" s="11"/>
      <c r="H16" s="10" t="str">
        <f aca="false">IF(G16="","",IFERROR(INDEX('اندیکاسیون‌ها'!$C$3:$C$22,MATCH(G16,'اندیکاسیون‌ها'!$A$3:$A$22,0)),"کد نامعتبر"))</f>
        <v/>
      </c>
      <c r="I16" s="10" t="str">
        <f aca="false">IF(G16="","",IFERROR(INDEX('اندیکاسیون‌ها'!$B$3:$B$22,MATCH(G16,'اندیکاسیون‌ها'!$A$3:$A$22,0)),""))</f>
        <v/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0" t="str">
        <f aca="false">IF(G16="","",IFERROR(INDEX('اندیکاسیون‌ها'!$F$3:$F$22,MATCH(G16,'اندیکاسیون‌ها'!$A$3:$A$22,0)),""))</f>
        <v/>
      </c>
      <c r="V16" s="11"/>
      <c r="W16" s="12"/>
      <c r="X16" s="10" t="str">
        <f aca="false">IF(OR(B16="",IF(V16&lt;&gt;"",V16,U16)=""),"",MAX(0,N(R16)-N(T16)-IF(V16&lt;&gt;"",V16,U16)))</f>
        <v/>
      </c>
      <c r="Y16" s="10" t="str">
        <f aca="false">IF(B16="","",N(R16)-N(S16)-N(T16))</f>
        <v/>
      </c>
      <c r="Z16" s="10" t="str">
        <f aca="false">IF(B16="","",IF(OR(G16="",G16="U0"),"اندیکاسیون نامشخص",IF(I16="بدون اندیکاسیون","بدون اندیکاسیون",IF(AND(I16="خارج از جدول",P16&lt;&gt;"بله"),"خارج از جدول بدون تأیید",IF(L16&lt;&gt;"بله","معیار مستند نشده",IF(N(X16)&gt;0,"مطابق، دوز مازاد","مطابق"))))))</f>
        <v/>
      </c>
      <c r="AA16" s="13" t="str">
        <f aca="false">IF(B16="","",IFERROR(COUNTIF(J16:Q16,"بله")/(COUNTIF(J16:Q16,"بله")+COUNTIF(J16:Q16,"خیر")),""))</f>
        <v/>
      </c>
      <c r="AB16" s="14" t="str">
        <f aca="false">IF(B16="","",IF(Z16="مطابق",0,IF(Z16="مطابق، دوز مازاد",N(X16)*N(W16),(N(R16)-N(T16))*N(W16))))</f>
        <v/>
      </c>
      <c r="AC16" s="12"/>
      <c r="AD16" s="12"/>
      <c r="AE16" s="10" t="str">
        <f aca="false">IF(B16="","",IF(AND(N(AC16)&gt;0,NOT(OR(Z16="مطابق",Z16="مطابق، دوز مازاد"))),"ریسک کسورات",IF(AND(OR(Z16="مطابق",Z16="مطابق، دوز مازاد"),N(AC16)=0,D16&lt;&gt;"آزاد",D16&lt;&gt;""),"بررسی امکان دریافت از بیمه","")))</f>
        <v/>
      </c>
      <c r="AF16" s="11"/>
    </row>
    <row r="17" customFormat="false" ht="15" hidden="false" customHeight="false" outlineLevel="0" collapsed="false">
      <c r="A17" s="10" t="str">
        <f aca="false">IF(B17="","",ROW()-2)</f>
        <v/>
      </c>
      <c r="B17" s="11"/>
      <c r="C17" s="11"/>
      <c r="D17" s="11"/>
      <c r="E17" s="11"/>
      <c r="F17" s="11"/>
      <c r="G17" s="11"/>
      <c r="H17" s="10" t="str">
        <f aca="false">IF(G17="","",IFERROR(INDEX('اندیکاسیون‌ها'!$C$3:$C$22,MATCH(G17,'اندیکاسیون‌ها'!$A$3:$A$22,0)),"کد نامعتبر"))</f>
        <v/>
      </c>
      <c r="I17" s="10" t="str">
        <f aca="false">IF(G17="","",IFERROR(INDEX('اندیکاسیون‌ها'!$B$3:$B$22,MATCH(G17,'اندیکاسیون‌ها'!$A$3:$A$22,0)),""))</f>
        <v/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0" t="str">
        <f aca="false">IF(G17="","",IFERROR(INDEX('اندیکاسیون‌ها'!$F$3:$F$22,MATCH(G17,'اندیکاسیون‌ها'!$A$3:$A$22,0)),""))</f>
        <v/>
      </c>
      <c r="V17" s="11"/>
      <c r="W17" s="12"/>
      <c r="X17" s="10" t="str">
        <f aca="false">IF(OR(B17="",IF(V17&lt;&gt;"",V17,U17)=""),"",MAX(0,N(R17)-N(T17)-IF(V17&lt;&gt;"",V17,U17)))</f>
        <v/>
      </c>
      <c r="Y17" s="10" t="str">
        <f aca="false">IF(B17="","",N(R17)-N(S17)-N(T17))</f>
        <v/>
      </c>
      <c r="Z17" s="10" t="str">
        <f aca="false">IF(B17="","",IF(OR(G17="",G17="U0"),"اندیکاسیون نامشخص",IF(I17="بدون اندیکاسیون","بدون اندیکاسیون",IF(AND(I17="خارج از جدول",P17&lt;&gt;"بله"),"خارج از جدول بدون تأیید",IF(L17&lt;&gt;"بله","معیار مستند نشده",IF(N(X17)&gt;0,"مطابق، دوز مازاد","مطابق"))))))</f>
        <v/>
      </c>
      <c r="AA17" s="13" t="str">
        <f aca="false">IF(B17="","",IFERROR(COUNTIF(J17:Q17,"بله")/(COUNTIF(J17:Q17,"بله")+COUNTIF(J17:Q17,"خیر")),""))</f>
        <v/>
      </c>
      <c r="AB17" s="14" t="str">
        <f aca="false">IF(B17="","",IF(Z17="مطابق",0,IF(Z17="مطابق، دوز مازاد",N(X17)*N(W17),(N(R17)-N(T17))*N(W17))))</f>
        <v/>
      </c>
      <c r="AC17" s="12"/>
      <c r="AD17" s="12"/>
      <c r="AE17" s="10" t="str">
        <f aca="false">IF(B17="","",IF(AND(N(AC17)&gt;0,NOT(OR(Z17="مطابق",Z17="مطابق، دوز مازاد"))),"ریسک کسورات",IF(AND(OR(Z17="مطابق",Z17="مطابق، دوز مازاد"),N(AC17)=0,D17&lt;&gt;"آزاد",D17&lt;&gt;""),"بررسی امکان دریافت از بیمه","")))</f>
        <v/>
      </c>
      <c r="AF17" s="11"/>
    </row>
    <row r="18" customFormat="false" ht="15" hidden="false" customHeight="false" outlineLevel="0" collapsed="false">
      <c r="A18" s="10" t="str">
        <f aca="false">IF(B18="","",ROW()-2)</f>
        <v/>
      </c>
      <c r="B18" s="11"/>
      <c r="C18" s="11"/>
      <c r="D18" s="11"/>
      <c r="E18" s="11"/>
      <c r="F18" s="11"/>
      <c r="G18" s="11"/>
      <c r="H18" s="10" t="str">
        <f aca="false">IF(G18="","",IFERROR(INDEX('اندیکاسیون‌ها'!$C$3:$C$22,MATCH(G18,'اندیکاسیون‌ها'!$A$3:$A$22,0)),"کد نامعتبر"))</f>
        <v/>
      </c>
      <c r="I18" s="10" t="str">
        <f aca="false">IF(G18="","",IFERROR(INDEX('اندیکاسیون‌ها'!$B$3:$B$22,MATCH(G18,'اندیکاسیون‌ها'!$A$3:$A$22,0)),""))</f>
        <v/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0" t="str">
        <f aca="false">IF(G18="","",IFERROR(INDEX('اندیکاسیون‌ها'!$F$3:$F$22,MATCH(G18,'اندیکاسیون‌ها'!$A$3:$A$22,0)),""))</f>
        <v/>
      </c>
      <c r="V18" s="11"/>
      <c r="W18" s="12"/>
      <c r="X18" s="10" t="str">
        <f aca="false">IF(OR(B18="",IF(V18&lt;&gt;"",V18,U18)=""),"",MAX(0,N(R18)-N(T18)-IF(V18&lt;&gt;"",V18,U18)))</f>
        <v/>
      </c>
      <c r="Y18" s="10" t="str">
        <f aca="false">IF(B18="","",N(R18)-N(S18)-N(T18))</f>
        <v/>
      </c>
      <c r="Z18" s="10" t="str">
        <f aca="false">IF(B18="","",IF(OR(G18="",G18="U0"),"اندیکاسیون نامشخص",IF(I18="بدون اندیکاسیون","بدون اندیکاسیون",IF(AND(I18="خارج از جدول",P18&lt;&gt;"بله"),"خارج از جدول بدون تأیید",IF(L18&lt;&gt;"بله","معیار مستند نشده",IF(N(X18)&gt;0,"مطابق، دوز مازاد","مطابق"))))))</f>
        <v/>
      </c>
      <c r="AA18" s="13" t="str">
        <f aca="false">IF(B18="","",IFERROR(COUNTIF(J18:Q18,"بله")/(COUNTIF(J18:Q18,"بله")+COUNTIF(J18:Q18,"خیر")),""))</f>
        <v/>
      </c>
      <c r="AB18" s="14" t="str">
        <f aca="false">IF(B18="","",IF(Z18="مطابق",0,IF(Z18="مطابق، دوز مازاد",N(X18)*N(W18),(N(R18)-N(T18))*N(W18))))</f>
        <v/>
      </c>
      <c r="AC18" s="12"/>
      <c r="AD18" s="12"/>
      <c r="AE18" s="10" t="str">
        <f aca="false">IF(B18="","",IF(AND(N(AC18)&gt;0,NOT(OR(Z18="مطابق",Z18="مطابق، دوز مازاد"))),"ریسک کسورات",IF(AND(OR(Z18="مطابق",Z18="مطابق، دوز مازاد"),N(AC18)=0,D18&lt;&gt;"آزاد",D18&lt;&gt;""),"بررسی امکان دریافت از بیمه","")))</f>
        <v/>
      </c>
      <c r="AF18" s="11"/>
    </row>
    <row r="19" customFormat="false" ht="15" hidden="false" customHeight="false" outlineLevel="0" collapsed="false">
      <c r="A19" s="10" t="str">
        <f aca="false">IF(B19="","",ROW()-2)</f>
        <v/>
      </c>
      <c r="B19" s="11"/>
      <c r="C19" s="11"/>
      <c r="D19" s="11"/>
      <c r="E19" s="11"/>
      <c r="F19" s="11"/>
      <c r="G19" s="11"/>
      <c r="H19" s="10" t="str">
        <f aca="false">IF(G19="","",IFERROR(INDEX('اندیکاسیون‌ها'!$C$3:$C$22,MATCH(G19,'اندیکاسیون‌ها'!$A$3:$A$22,0)),"کد نامعتبر"))</f>
        <v/>
      </c>
      <c r="I19" s="10" t="str">
        <f aca="false">IF(G19="","",IFERROR(INDEX('اندیکاسیون‌ها'!$B$3:$B$22,MATCH(G19,'اندیکاسیون‌ها'!$A$3:$A$22,0)),""))</f>
        <v/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0" t="str">
        <f aca="false">IF(G19="","",IFERROR(INDEX('اندیکاسیون‌ها'!$F$3:$F$22,MATCH(G19,'اندیکاسیون‌ها'!$A$3:$A$22,0)),""))</f>
        <v/>
      </c>
      <c r="V19" s="11"/>
      <c r="W19" s="12"/>
      <c r="X19" s="10" t="str">
        <f aca="false">IF(OR(B19="",IF(V19&lt;&gt;"",V19,U19)=""),"",MAX(0,N(R19)-N(T19)-IF(V19&lt;&gt;"",V19,U19)))</f>
        <v/>
      </c>
      <c r="Y19" s="10" t="str">
        <f aca="false">IF(B19="","",N(R19)-N(S19)-N(T19))</f>
        <v/>
      </c>
      <c r="Z19" s="10" t="str">
        <f aca="false">IF(B19="","",IF(OR(G19="",G19="U0"),"اندیکاسیون نامشخص",IF(I19="بدون اندیکاسیون","بدون اندیکاسیون",IF(AND(I19="خارج از جدول",P19&lt;&gt;"بله"),"خارج از جدول بدون تأیید",IF(L19&lt;&gt;"بله","معیار مستند نشده",IF(N(X19)&gt;0,"مطابق، دوز مازاد","مطابق"))))))</f>
        <v/>
      </c>
      <c r="AA19" s="13" t="str">
        <f aca="false">IF(B19="","",IFERROR(COUNTIF(J19:Q19,"بله")/(COUNTIF(J19:Q19,"بله")+COUNTIF(J19:Q19,"خیر")),""))</f>
        <v/>
      </c>
      <c r="AB19" s="14" t="str">
        <f aca="false">IF(B19="","",IF(Z19="مطابق",0,IF(Z19="مطابق، دوز مازاد",N(X19)*N(W19),(N(R19)-N(T19))*N(W19))))</f>
        <v/>
      </c>
      <c r="AC19" s="12"/>
      <c r="AD19" s="12"/>
      <c r="AE19" s="10" t="str">
        <f aca="false">IF(B19="","",IF(AND(N(AC19)&gt;0,NOT(OR(Z19="مطابق",Z19="مطابق، دوز مازاد"))),"ریسک کسورات",IF(AND(OR(Z19="مطابق",Z19="مطابق، دوز مازاد"),N(AC19)=0,D19&lt;&gt;"آزاد",D19&lt;&gt;""),"بررسی امکان دریافت از بیمه","")))</f>
        <v/>
      </c>
      <c r="AF19" s="11"/>
    </row>
    <row r="20" customFormat="false" ht="15" hidden="false" customHeight="false" outlineLevel="0" collapsed="false">
      <c r="A20" s="10" t="str">
        <f aca="false">IF(B20="","",ROW()-2)</f>
        <v/>
      </c>
      <c r="B20" s="11"/>
      <c r="C20" s="11"/>
      <c r="D20" s="11"/>
      <c r="E20" s="11"/>
      <c r="F20" s="11"/>
      <c r="G20" s="11"/>
      <c r="H20" s="10" t="str">
        <f aca="false">IF(G20="","",IFERROR(INDEX('اندیکاسیون‌ها'!$C$3:$C$22,MATCH(G20,'اندیکاسیون‌ها'!$A$3:$A$22,0)),"کد نامعتبر"))</f>
        <v/>
      </c>
      <c r="I20" s="10" t="str">
        <f aca="false">IF(G20="","",IFERROR(INDEX('اندیکاسیون‌ها'!$B$3:$B$22,MATCH(G20,'اندیکاسیون‌ها'!$A$3:$A$22,0)),""))</f>
        <v/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0" t="str">
        <f aca="false">IF(G20="","",IFERROR(INDEX('اندیکاسیون‌ها'!$F$3:$F$22,MATCH(G20,'اندیکاسیون‌ها'!$A$3:$A$22,0)),""))</f>
        <v/>
      </c>
      <c r="V20" s="11"/>
      <c r="W20" s="12"/>
      <c r="X20" s="10" t="str">
        <f aca="false">IF(OR(B20="",IF(V20&lt;&gt;"",V20,U20)=""),"",MAX(0,N(R20)-N(T20)-IF(V20&lt;&gt;"",V20,U20)))</f>
        <v/>
      </c>
      <c r="Y20" s="10" t="str">
        <f aca="false">IF(B20="","",N(R20)-N(S20)-N(T20))</f>
        <v/>
      </c>
      <c r="Z20" s="10" t="str">
        <f aca="false">IF(B20="","",IF(OR(G20="",G20="U0"),"اندیکاسیون نامشخص",IF(I20="بدون اندیکاسیون","بدون اندیکاسیون",IF(AND(I20="خارج از جدول",P20&lt;&gt;"بله"),"خارج از جدول بدون تأیید",IF(L20&lt;&gt;"بله","معیار مستند نشده",IF(N(X20)&gt;0,"مطابق، دوز مازاد","مطابق"))))))</f>
        <v/>
      </c>
      <c r="AA20" s="13" t="str">
        <f aca="false">IF(B20="","",IFERROR(COUNTIF(J20:Q20,"بله")/(COUNTIF(J20:Q20,"بله")+COUNTIF(J20:Q20,"خیر")),""))</f>
        <v/>
      </c>
      <c r="AB20" s="14" t="str">
        <f aca="false">IF(B20="","",IF(Z20="مطابق",0,IF(Z20="مطابق، دوز مازاد",N(X20)*N(W20),(N(R20)-N(T20))*N(W20))))</f>
        <v/>
      </c>
      <c r="AC20" s="12"/>
      <c r="AD20" s="12"/>
      <c r="AE20" s="10" t="str">
        <f aca="false">IF(B20="","",IF(AND(N(AC20)&gt;0,NOT(OR(Z20="مطابق",Z20="مطابق، دوز مازاد"))),"ریسک کسورات",IF(AND(OR(Z20="مطابق",Z20="مطابق، دوز مازاد"),N(AC20)=0,D20&lt;&gt;"آزاد",D20&lt;&gt;""),"بررسی امکان دریافت از بیمه","")))</f>
        <v/>
      </c>
      <c r="AF20" s="11"/>
    </row>
    <row r="21" customFormat="false" ht="15" hidden="false" customHeight="false" outlineLevel="0" collapsed="false">
      <c r="A21" s="10" t="str">
        <f aca="false">IF(B21="","",ROW()-2)</f>
        <v/>
      </c>
      <c r="B21" s="11"/>
      <c r="C21" s="11"/>
      <c r="D21" s="11"/>
      <c r="E21" s="11"/>
      <c r="F21" s="11"/>
      <c r="G21" s="11"/>
      <c r="H21" s="10" t="str">
        <f aca="false">IF(G21="","",IFERROR(INDEX('اندیکاسیون‌ها'!$C$3:$C$22,MATCH(G21,'اندیکاسیون‌ها'!$A$3:$A$22,0)),"کد نامعتبر"))</f>
        <v/>
      </c>
      <c r="I21" s="10" t="str">
        <f aca="false">IF(G21="","",IFERROR(INDEX('اندیکاسیون‌ها'!$B$3:$B$22,MATCH(G21,'اندیکاسیون‌ها'!$A$3:$A$22,0)),""))</f>
        <v/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0" t="str">
        <f aca="false">IF(G21="","",IFERROR(INDEX('اندیکاسیون‌ها'!$F$3:$F$22,MATCH(G21,'اندیکاسیون‌ها'!$A$3:$A$22,0)),""))</f>
        <v/>
      </c>
      <c r="V21" s="11"/>
      <c r="W21" s="12"/>
      <c r="X21" s="10" t="str">
        <f aca="false">IF(OR(B21="",IF(V21&lt;&gt;"",V21,U21)=""),"",MAX(0,N(R21)-N(T21)-IF(V21&lt;&gt;"",V21,U21)))</f>
        <v/>
      </c>
      <c r="Y21" s="10" t="str">
        <f aca="false">IF(B21="","",N(R21)-N(S21)-N(T21))</f>
        <v/>
      </c>
      <c r="Z21" s="10" t="str">
        <f aca="false">IF(B21="","",IF(OR(G21="",G21="U0"),"اندیکاسیون نامشخص",IF(I21="بدون اندیکاسیون","بدون اندیکاسیون",IF(AND(I21="خارج از جدول",P21&lt;&gt;"بله"),"خارج از جدول بدون تأیید",IF(L21&lt;&gt;"بله","معیار مستند نشده",IF(N(X21)&gt;0,"مطابق، دوز مازاد","مطابق"))))))</f>
        <v/>
      </c>
      <c r="AA21" s="13" t="str">
        <f aca="false">IF(B21="","",IFERROR(COUNTIF(J21:Q21,"بله")/(COUNTIF(J21:Q21,"بله")+COUNTIF(J21:Q21,"خیر")),""))</f>
        <v/>
      </c>
      <c r="AB21" s="14" t="str">
        <f aca="false">IF(B21="","",IF(Z21="مطابق",0,IF(Z21="مطابق، دوز مازاد",N(X21)*N(W21),(N(R21)-N(T21))*N(W21))))</f>
        <v/>
      </c>
      <c r="AC21" s="12"/>
      <c r="AD21" s="12"/>
      <c r="AE21" s="10" t="str">
        <f aca="false">IF(B21="","",IF(AND(N(AC21)&gt;0,NOT(OR(Z21="مطابق",Z21="مطابق، دوز مازاد"))),"ریسک کسورات",IF(AND(OR(Z21="مطابق",Z21="مطابق، دوز مازاد"),N(AC21)=0,D21&lt;&gt;"آزاد",D21&lt;&gt;""),"بررسی امکان دریافت از بیمه","")))</f>
        <v/>
      </c>
      <c r="AF21" s="11"/>
    </row>
    <row r="22" customFormat="false" ht="15" hidden="false" customHeight="false" outlineLevel="0" collapsed="false">
      <c r="A22" s="10" t="str">
        <f aca="false">IF(B22="","",ROW()-2)</f>
        <v/>
      </c>
      <c r="B22" s="11"/>
      <c r="C22" s="11"/>
      <c r="D22" s="11"/>
      <c r="E22" s="11"/>
      <c r="F22" s="11"/>
      <c r="G22" s="11"/>
      <c r="H22" s="10" t="str">
        <f aca="false">IF(G22="","",IFERROR(INDEX('اندیکاسیون‌ها'!$C$3:$C$22,MATCH(G22,'اندیکاسیون‌ها'!$A$3:$A$22,0)),"کد نامعتبر"))</f>
        <v/>
      </c>
      <c r="I22" s="10" t="str">
        <f aca="false">IF(G22="","",IFERROR(INDEX('اندیکاسیون‌ها'!$B$3:$B$22,MATCH(G22,'اندیکاسیون‌ها'!$A$3:$A$22,0)),""))</f>
        <v/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0" t="str">
        <f aca="false">IF(G22="","",IFERROR(INDEX('اندیکاسیون‌ها'!$F$3:$F$22,MATCH(G22,'اندیکاسیون‌ها'!$A$3:$A$22,0)),""))</f>
        <v/>
      </c>
      <c r="V22" s="11"/>
      <c r="W22" s="12"/>
      <c r="X22" s="10" t="str">
        <f aca="false">IF(OR(B22="",IF(V22&lt;&gt;"",V22,U22)=""),"",MAX(0,N(R22)-N(T22)-IF(V22&lt;&gt;"",V22,U22)))</f>
        <v/>
      </c>
      <c r="Y22" s="10" t="str">
        <f aca="false">IF(B22="","",N(R22)-N(S22)-N(T22))</f>
        <v/>
      </c>
      <c r="Z22" s="10" t="str">
        <f aca="false">IF(B22="","",IF(OR(G22="",G22="U0"),"اندیکاسیون نامشخص",IF(I22="بدون اندیکاسیون","بدون اندیکاسیون",IF(AND(I22="خارج از جدول",P22&lt;&gt;"بله"),"خارج از جدول بدون تأیید",IF(L22&lt;&gt;"بله","معیار مستند نشده",IF(N(X22)&gt;0,"مطابق، دوز مازاد","مطابق"))))))</f>
        <v/>
      </c>
      <c r="AA22" s="13" t="str">
        <f aca="false">IF(B22="","",IFERROR(COUNTIF(J22:Q22,"بله")/(COUNTIF(J22:Q22,"بله")+COUNTIF(J22:Q22,"خیر")),""))</f>
        <v/>
      </c>
      <c r="AB22" s="14" t="str">
        <f aca="false">IF(B22="","",IF(Z22="مطابق",0,IF(Z22="مطابق، دوز مازاد",N(X22)*N(W22),(N(R22)-N(T22))*N(W22))))</f>
        <v/>
      </c>
      <c r="AC22" s="12"/>
      <c r="AD22" s="12"/>
      <c r="AE22" s="10" t="str">
        <f aca="false">IF(B22="","",IF(AND(N(AC22)&gt;0,NOT(OR(Z22="مطابق",Z22="مطابق، دوز مازاد"))),"ریسک کسورات",IF(AND(OR(Z22="مطابق",Z22="مطابق، دوز مازاد"),N(AC22)=0,D22&lt;&gt;"آزاد",D22&lt;&gt;""),"بررسی امکان دریافت از بیمه","")))</f>
        <v/>
      </c>
      <c r="AF22" s="11"/>
    </row>
    <row r="23" customFormat="false" ht="15" hidden="false" customHeight="false" outlineLevel="0" collapsed="false">
      <c r="A23" s="10" t="str">
        <f aca="false">IF(B23="","",ROW()-2)</f>
        <v/>
      </c>
      <c r="B23" s="11"/>
      <c r="C23" s="11"/>
      <c r="D23" s="11"/>
      <c r="E23" s="11"/>
      <c r="F23" s="11"/>
      <c r="G23" s="11"/>
      <c r="H23" s="10" t="str">
        <f aca="false">IF(G23="","",IFERROR(INDEX('اندیکاسیون‌ها'!$C$3:$C$22,MATCH(G23,'اندیکاسیون‌ها'!$A$3:$A$22,0)),"کد نامعتبر"))</f>
        <v/>
      </c>
      <c r="I23" s="10" t="str">
        <f aca="false">IF(G23="","",IFERROR(INDEX('اندیکاسیون‌ها'!$B$3:$B$22,MATCH(G23,'اندیکاسیون‌ها'!$A$3:$A$22,0)),""))</f>
        <v/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0" t="str">
        <f aca="false">IF(G23="","",IFERROR(INDEX('اندیکاسیون‌ها'!$F$3:$F$22,MATCH(G23,'اندیکاسیون‌ها'!$A$3:$A$22,0)),""))</f>
        <v/>
      </c>
      <c r="V23" s="11"/>
      <c r="W23" s="12"/>
      <c r="X23" s="10" t="str">
        <f aca="false">IF(OR(B23="",IF(V23&lt;&gt;"",V23,U23)=""),"",MAX(0,N(R23)-N(T23)-IF(V23&lt;&gt;"",V23,U23)))</f>
        <v/>
      </c>
      <c r="Y23" s="10" t="str">
        <f aca="false">IF(B23="","",N(R23)-N(S23)-N(T23))</f>
        <v/>
      </c>
      <c r="Z23" s="10" t="str">
        <f aca="false">IF(B23="","",IF(OR(G23="",G23="U0"),"اندیکاسیون نامشخص",IF(I23="بدون اندیکاسیون","بدون اندیکاسیون",IF(AND(I23="خارج از جدول",P23&lt;&gt;"بله"),"خارج از جدول بدون تأیید",IF(L23&lt;&gt;"بله","معیار مستند نشده",IF(N(X23)&gt;0,"مطابق، دوز مازاد","مطابق"))))))</f>
        <v/>
      </c>
      <c r="AA23" s="13" t="str">
        <f aca="false">IF(B23="","",IFERROR(COUNTIF(J23:Q23,"بله")/(COUNTIF(J23:Q23,"بله")+COUNTIF(J23:Q23,"خیر")),""))</f>
        <v/>
      </c>
      <c r="AB23" s="14" t="str">
        <f aca="false">IF(B23="","",IF(Z23="مطابق",0,IF(Z23="مطابق، دوز مازاد",N(X23)*N(W23),(N(R23)-N(T23))*N(W23))))</f>
        <v/>
      </c>
      <c r="AC23" s="12"/>
      <c r="AD23" s="12"/>
      <c r="AE23" s="10" t="str">
        <f aca="false">IF(B23="","",IF(AND(N(AC23)&gt;0,NOT(OR(Z23="مطابق",Z23="مطابق، دوز مازاد"))),"ریسک کسورات",IF(AND(OR(Z23="مطابق",Z23="مطابق، دوز مازاد"),N(AC23)=0,D23&lt;&gt;"آزاد",D23&lt;&gt;""),"بررسی امکان دریافت از بیمه","")))</f>
        <v/>
      </c>
      <c r="AF23" s="11"/>
    </row>
    <row r="24" customFormat="false" ht="15" hidden="false" customHeight="false" outlineLevel="0" collapsed="false">
      <c r="A24" s="10" t="str">
        <f aca="false">IF(B24="","",ROW()-2)</f>
        <v/>
      </c>
      <c r="B24" s="11"/>
      <c r="C24" s="11"/>
      <c r="D24" s="11"/>
      <c r="E24" s="11"/>
      <c r="F24" s="11"/>
      <c r="G24" s="11"/>
      <c r="H24" s="10" t="str">
        <f aca="false">IF(G24="","",IFERROR(INDEX('اندیکاسیون‌ها'!$C$3:$C$22,MATCH(G24,'اندیکاسیون‌ها'!$A$3:$A$22,0)),"کد نامعتبر"))</f>
        <v/>
      </c>
      <c r="I24" s="10" t="str">
        <f aca="false">IF(G24="","",IFERROR(INDEX('اندیکاسیون‌ها'!$B$3:$B$22,MATCH(G24,'اندیکاسیون‌ها'!$A$3:$A$22,0)),""))</f>
        <v/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0" t="str">
        <f aca="false">IF(G24="","",IFERROR(INDEX('اندیکاسیون‌ها'!$F$3:$F$22,MATCH(G24,'اندیکاسیون‌ها'!$A$3:$A$22,0)),""))</f>
        <v/>
      </c>
      <c r="V24" s="11"/>
      <c r="W24" s="12"/>
      <c r="X24" s="10" t="str">
        <f aca="false">IF(OR(B24="",IF(V24&lt;&gt;"",V24,U24)=""),"",MAX(0,N(R24)-N(T24)-IF(V24&lt;&gt;"",V24,U24)))</f>
        <v/>
      </c>
      <c r="Y24" s="10" t="str">
        <f aca="false">IF(B24="","",N(R24)-N(S24)-N(T24))</f>
        <v/>
      </c>
      <c r="Z24" s="10" t="str">
        <f aca="false">IF(B24="","",IF(OR(G24="",G24="U0"),"اندیکاسیون نامشخص",IF(I24="بدون اندیکاسیون","بدون اندیکاسیون",IF(AND(I24="خارج از جدول",P24&lt;&gt;"بله"),"خارج از جدول بدون تأیید",IF(L24&lt;&gt;"بله","معیار مستند نشده",IF(N(X24)&gt;0,"مطابق، دوز مازاد","مطابق"))))))</f>
        <v/>
      </c>
      <c r="AA24" s="13" t="str">
        <f aca="false">IF(B24="","",IFERROR(COUNTIF(J24:Q24,"بله")/(COUNTIF(J24:Q24,"بله")+COUNTIF(J24:Q24,"خیر")),""))</f>
        <v/>
      </c>
      <c r="AB24" s="14" t="str">
        <f aca="false">IF(B24="","",IF(Z24="مطابق",0,IF(Z24="مطابق، دوز مازاد",N(X24)*N(W24),(N(R24)-N(T24))*N(W24))))</f>
        <v/>
      </c>
      <c r="AC24" s="12"/>
      <c r="AD24" s="12"/>
      <c r="AE24" s="10" t="str">
        <f aca="false">IF(B24="","",IF(AND(N(AC24)&gt;0,NOT(OR(Z24="مطابق",Z24="مطابق، دوز مازاد"))),"ریسک کسورات",IF(AND(OR(Z24="مطابق",Z24="مطابق، دوز مازاد"),N(AC24)=0,D24&lt;&gt;"آزاد",D24&lt;&gt;""),"بررسی امکان دریافت از بیمه","")))</f>
        <v/>
      </c>
      <c r="AF24" s="11"/>
    </row>
    <row r="25" customFormat="false" ht="15" hidden="false" customHeight="false" outlineLevel="0" collapsed="false">
      <c r="A25" s="10" t="str">
        <f aca="false">IF(B25="","",ROW()-2)</f>
        <v/>
      </c>
      <c r="B25" s="11"/>
      <c r="C25" s="11"/>
      <c r="D25" s="11"/>
      <c r="E25" s="11"/>
      <c r="F25" s="11"/>
      <c r="G25" s="11"/>
      <c r="H25" s="10" t="str">
        <f aca="false">IF(G25="","",IFERROR(INDEX('اندیکاسیون‌ها'!$C$3:$C$22,MATCH(G25,'اندیکاسیون‌ها'!$A$3:$A$22,0)),"کد نامعتبر"))</f>
        <v/>
      </c>
      <c r="I25" s="10" t="str">
        <f aca="false">IF(G25="","",IFERROR(INDEX('اندیکاسیون‌ها'!$B$3:$B$22,MATCH(G25,'اندیکاسیون‌ها'!$A$3:$A$22,0)),""))</f>
        <v/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0" t="str">
        <f aca="false">IF(G25="","",IFERROR(INDEX('اندیکاسیون‌ها'!$F$3:$F$22,MATCH(G25,'اندیکاسیون‌ها'!$A$3:$A$22,0)),""))</f>
        <v/>
      </c>
      <c r="V25" s="11"/>
      <c r="W25" s="12"/>
      <c r="X25" s="10" t="str">
        <f aca="false">IF(OR(B25="",IF(V25&lt;&gt;"",V25,U25)=""),"",MAX(0,N(R25)-N(T25)-IF(V25&lt;&gt;"",V25,U25)))</f>
        <v/>
      </c>
      <c r="Y25" s="10" t="str">
        <f aca="false">IF(B25="","",N(R25)-N(S25)-N(T25))</f>
        <v/>
      </c>
      <c r="Z25" s="10" t="str">
        <f aca="false">IF(B25="","",IF(OR(G25="",G25="U0"),"اندیکاسیون نامشخص",IF(I25="بدون اندیکاسیون","بدون اندیکاسیون",IF(AND(I25="خارج از جدول",P25&lt;&gt;"بله"),"خارج از جدول بدون تأیید",IF(L25&lt;&gt;"بله","معیار مستند نشده",IF(N(X25)&gt;0,"مطابق، دوز مازاد","مطابق"))))))</f>
        <v/>
      </c>
      <c r="AA25" s="13" t="str">
        <f aca="false">IF(B25="","",IFERROR(COUNTIF(J25:Q25,"بله")/(COUNTIF(J25:Q25,"بله")+COUNTIF(J25:Q25,"خیر")),""))</f>
        <v/>
      </c>
      <c r="AB25" s="14" t="str">
        <f aca="false">IF(B25="","",IF(Z25="مطابق",0,IF(Z25="مطابق، دوز مازاد",N(X25)*N(W25),(N(R25)-N(T25))*N(W25))))</f>
        <v/>
      </c>
      <c r="AC25" s="12"/>
      <c r="AD25" s="12"/>
      <c r="AE25" s="10" t="str">
        <f aca="false">IF(B25="","",IF(AND(N(AC25)&gt;0,NOT(OR(Z25="مطابق",Z25="مطابق، دوز مازاد"))),"ریسک کسورات",IF(AND(OR(Z25="مطابق",Z25="مطابق، دوز مازاد"),N(AC25)=0,D25&lt;&gt;"آزاد",D25&lt;&gt;""),"بررسی امکان دریافت از بیمه","")))</f>
        <v/>
      </c>
      <c r="AF25" s="11"/>
    </row>
    <row r="26" customFormat="false" ht="15" hidden="false" customHeight="false" outlineLevel="0" collapsed="false">
      <c r="A26" s="10" t="str">
        <f aca="false">IF(B26="","",ROW()-2)</f>
        <v/>
      </c>
      <c r="B26" s="11"/>
      <c r="C26" s="11"/>
      <c r="D26" s="11"/>
      <c r="E26" s="11"/>
      <c r="F26" s="11"/>
      <c r="G26" s="11"/>
      <c r="H26" s="10" t="str">
        <f aca="false">IF(G26="","",IFERROR(INDEX('اندیکاسیون‌ها'!$C$3:$C$22,MATCH(G26,'اندیکاسیون‌ها'!$A$3:$A$22,0)),"کد نامعتبر"))</f>
        <v/>
      </c>
      <c r="I26" s="10" t="str">
        <f aca="false">IF(G26="","",IFERROR(INDEX('اندیکاسیون‌ها'!$B$3:$B$22,MATCH(G26,'اندیکاسیون‌ها'!$A$3:$A$22,0)),""))</f>
        <v/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0" t="str">
        <f aca="false">IF(G26="","",IFERROR(INDEX('اندیکاسیون‌ها'!$F$3:$F$22,MATCH(G26,'اندیکاسیون‌ها'!$A$3:$A$22,0)),""))</f>
        <v/>
      </c>
      <c r="V26" s="11"/>
      <c r="W26" s="12"/>
      <c r="X26" s="10" t="str">
        <f aca="false">IF(OR(B26="",IF(V26&lt;&gt;"",V26,U26)=""),"",MAX(0,N(R26)-N(T26)-IF(V26&lt;&gt;"",V26,U26)))</f>
        <v/>
      </c>
      <c r="Y26" s="10" t="str">
        <f aca="false">IF(B26="","",N(R26)-N(S26)-N(T26))</f>
        <v/>
      </c>
      <c r="Z26" s="10" t="str">
        <f aca="false">IF(B26="","",IF(OR(G26="",G26="U0"),"اندیکاسیون نامشخص",IF(I26="بدون اندیکاسیون","بدون اندیکاسیون",IF(AND(I26="خارج از جدول",P26&lt;&gt;"بله"),"خارج از جدول بدون تأیید",IF(L26&lt;&gt;"بله","معیار مستند نشده",IF(N(X26)&gt;0,"مطابق، دوز مازاد","مطابق"))))))</f>
        <v/>
      </c>
      <c r="AA26" s="13" t="str">
        <f aca="false">IF(B26="","",IFERROR(COUNTIF(J26:Q26,"بله")/(COUNTIF(J26:Q26,"بله")+COUNTIF(J26:Q26,"خیر")),""))</f>
        <v/>
      </c>
      <c r="AB26" s="14" t="str">
        <f aca="false">IF(B26="","",IF(Z26="مطابق",0,IF(Z26="مطابق، دوز مازاد",N(X26)*N(W26),(N(R26)-N(T26))*N(W26))))</f>
        <v/>
      </c>
      <c r="AC26" s="12"/>
      <c r="AD26" s="12"/>
      <c r="AE26" s="10" t="str">
        <f aca="false">IF(B26="","",IF(AND(N(AC26)&gt;0,NOT(OR(Z26="مطابق",Z26="مطابق، دوز مازاد"))),"ریسک کسورات",IF(AND(OR(Z26="مطابق",Z26="مطابق، دوز مازاد"),N(AC26)=0,D26&lt;&gt;"آزاد",D26&lt;&gt;""),"بررسی امکان دریافت از بیمه","")))</f>
        <v/>
      </c>
      <c r="AF26" s="11"/>
    </row>
    <row r="27" customFormat="false" ht="15" hidden="false" customHeight="false" outlineLevel="0" collapsed="false">
      <c r="A27" s="10" t="str">
        <f aca="false">IF(B27="","",ROW()-2)</f>
        <v/>
      </c>
      <c r="B27" s="11"/>
      <c r="C27" s="11"/>
      <c r="D27" s="11"/>
      <c r="E27" s="11"/>
      <c r="F27" s="11"/>
      <c r="G27" s="11"/>
      <c r="H27" s="10" t="str">
        <f aca="false">IF(G27="","",IFERROR(INDEX('اندیکاسیون‌ها'!$C$3:$C$22,MATCH(G27,'اندیکاسیون‌ها'!$A$3:$A$22,0)),"کد نامعتبر"))</f>
        <v/>
      </c>
      <c r="I27" s="10" t="str">
        <f aca="false">IF(G27="","",IFERROR(INDEX('اندیکاسیون‌ها'!$B$3:$B$22,MATCH(G27,'اندیکاسیون‌ها'!$A$3:$A$22,0)),""))</f>
        <v/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0" t="str">
        <f aca="false">IF(G27="","",IFERROR(INDEX('اندیکاسیون‌ها'!$F$3:$F$22,MATCH(G27,'اندیکاسیون‌ها'!$A$3:$A$22,0)),""))</f>
        <v/>
      </c>
      <c r="V27" s="11"/>
      <c r="W27" s="12"/>
      <c r="X27" s="10" t="str">
        <f aca="false">IF(OR(B27="",IF(V27&lt;&gt;"",V27,U27)=""),"",MAX(0,N(R27)-N(T27)-IF(V27&lt;&gt;"",V27,U27)))</f>
        <v/>
      </c>
      <c r="Y27" s="10" t="str">
        <f aca="false">IF(B27="","",N(R27)-N(S27)-N(T27))</f>
        <v/>
      </c>
      <c r="Z27" s="10" t="str">
        <f aca="false">IF(B27="","",IF(OR(G27="",G27="U0"),"اندیکاسیون نامشخص",IF(I27="بدون اندیکاسیون","بدون اندیکاسیون",IF(AND(I27="خارج از جدول",P27&lt;&gt;"بله"),"خارج از جدول بدون تأیید",IF(L27&lt;&gt;"بله","معیار مستند نشده",IF(N(X27)&gt;0,"مطابق، دوز مازاد","مطابق"))))))</f>
        <v/>
      </c>
      <c r="AA27" s="13" t="str">
        <f aca="false">IF(B27="","",IFERROR(COUNTIF(J27:Q27,"بله")/(COUNTIF(J27:Q27,"بله")+COUNTIF(J27:Q27,"خیر")),""))</f>
        <v/>
      </c>
      <c r="AB27" s="14" t="str">
        <f aca="false">IF(B27="","",IF(Z27="مطابق",0,IF(Z27="مطابق، دوز مازاد",N(X27)*N(W27),(N(R27)-N(T27))*N(W27))))</f>
        <v/>
      </c>
      <c r="AC27" s="12"/>
      <c r="AD27" s="12"/>
      <c r="AE27" s="10" t="str">
        <f aca="false">IF(B27="","",IF(AND(N(AC27)&gt;0,NOT(OR(Z27="مطابق",Z27="مطابق، دوز مازاد"))),"ریسک کسورات",IF(AND(OR(Z27="مطابق",Z27="مطابق، دوز مازاد"),N(AC27)=0,D27&lt;&gt;"آزاد",D27&lt;&gt;""),"بررسی امکان دریافت از بیمه","")))</f>
        <v/>
      </c>
      <c r="AF27" s="11"/>
    </row>
    <row r="28" customFormat="false" ht="15" hidden="false" customHeight="false" outlineLevel="0" collapsed="false">
      <c r="A28" s="10" t="str">
        <f aca="false">IF(B28="","",ROW()-2)</f>
        <v/>
      </c>
      <c r="B28" s="11"/>
      <c r="C28" s="11"/>
      <c r="D28" s="11"/>
      <c r="E28" s="11"/>
      <c r="F28" s="11"/>
      <c r="G28" s="11"/>
      <c r="H28" s="10" t="str">
        <f aca="false">IF(G28="","",IFERROR(INDEX('اندیکاسیون‌ها'!$C$3:$C$22,MATCH(G28,'اندیکاسیون‌ها'!$A$3:$A$22,0)),"کد نامعتبر"))</f>
        <v/>
      </c>
      <c r="I28" s="10" t="str">
        <f aca="false">IF(G28="","",IFERROR(INDEX('اندیکاسیون‌ها'!$B$3:$B$22,MATCH(G28,'اندیکاسیون‌ها'!$A$3:$A$22,0)),""))</f>
        <v/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0" t="str">
        <f aca="false">IF(G28="","",IFERROR(INDEX('اندیکاسیون‌ها'!$F$3:$F$22,MATCH(G28,'اندیکاسیون‌ها'!$A$3:$A$22,0)),""))</f>
        <v/>
      </c>
      <c r="V28" s="11"/>
      <c r="W28" s="12"/>
      <c r="X28" s="10" t="str">
        <f aca="false">IF(OR(B28="",IF(V28&lt;&gt;"",V28,U28)=""),"",MAX(0,N(R28)-N(T28)-IF(V28&lt;&gt;"",V28,U28)))</f>
        <v/>
      </c>
      <c r="Y28" s="10" t="str">
        <f aca="false">IF(B28="","",N(R28)-N(S28)-N(T28))</f>
        <v/>
      </c>
      <c r="Z28" s="10" t="str">
        <f aca="false">IF(B28="","",IF(OR(G28="",G28="U0"),"اندیکاسیون نامشخص",IF(I28="بدون اندیکاسیون","بدون اندیکاسیون",IF(AND(I28="خارج از جدول",P28&lt;&gt;"بله"),"خارج از جدول بدون تأیید",IF(L28&lt;&gt;"بله","معیار مستند نشده",IF(N(X28)&gt;0,"مطابق، دوز مازاد","مطابق"))))))</f>
        <v/>
      </c>
      <c r="AA28" s="13" t="str">
        <f aca="false">IF(B28="","",IFERROR(COUNTIF(J28:Q28,"بله")/(COUNTIF(J28:Q28,"بله")+COUNTIF(J28:Q28,"خیر")),""))</f>
        <v/>
      </c>
      <c r="AB28" s="14" t="str">
        <f aca="false">IF(B28="","",IF(Z28="مطابق",0,IF(Z28="مطابق، دوز مازاد",N(X28)*N(W28),(N(R28)-N(T28))*N(W28))))</f>
        <v/>
      </c>
      <c r="AC28" s="12"/>
      <c r="AD28" s="12"/>
      <c r="AE28" s="10" t="str">
        <f aca="false">IF(B28="","",IF(AND(N(AC28)&gt;0,NOT(OR(Z28="مطابق",Z28="مطابق، دوز مازاد"))),"ریسک کسورات",IF(AND(OR(Z28="مطابق",Z28="مطابق، دوز مازاد"),N(AC28)=0,D28&lt;&gt;"آزاد",D28&lt;&gt;""),"بررسی امکان دریافت از بیمه","")))</f>
        <v/>
      </c>
      <c r="AF28" s="11"/>
    </row>
    <row r="29" customFormat="false" ht="15" hidden="false" customHeight="false" outlineLevel="0" collapsed="false">
      <c r="A29" s="10" t="str">
        <f aca="false">IF(B29="","",ROW()-2)</f>
        <v/>
      </c>
      <c r="B29" s="11"/>
      <c r="C29" s="11"/>
      <c r="D29" s="11"/>
      <c r="E29" s="11"/>
      <c r="F29" s="11"/>
      <c r="G29" s="11"/>
      <c r="H29" s="10" t="str">
        <f aca="false">IF(G29="","",IFERROR(INDEX('اندیکاسیون‌ها'!$C$3:$C$22,MATCH(G29,'اندیکاسیون‌ها'!$A$3:$A$22,0)),"کد نامعتبر"))</f>
        <v/>
      </c>
      <c r="I29" s="10" t="str">
        <f aca="false">IF(G29="","",IFERROR(INDEX('اندیکاسیون‌ها'!$B$3:$B$22,MATCH(G29,'اندیکاسیون‌ها'!$A$3:$A$22,0)),""))</f>
        <v/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0" t="str">
        <f aca="false">IF(G29="","",IFERROR(INDEX('اندیکاسیون‌ها'!$F$3:$F$22,MATCH(G29,'اندیکاسیون‌ها'!$A$3:$A$22,0)),""))</f>
        <v/>
      </c>
      <c r="V29" s="11"/>
      <c r="W29" s="12"/>
      <c r="X29" s="10" t="str">
        <f aca="false">IF(OR(B29="",IF(V29&lt;&gt;"",V29,U29)=""),"",MAX(0,N(R29)-N(T29)-IF(V29&lt;&gt;"",V29,U29)))</f>
        <v/>
      </c>
      <c r="Y29" s="10" t="str">
        <f aca="false">IF(B29="","",N(R29)-N(S29)-N(T29))</f>
        <v/>
      </c>
      <c r="Z29" s="10" t="str">
        <f aca="false">IF(B29="","",IF(OR(G29="",G29="U0"),"اندیکاسیون نامشخص",IF(I29="بدون اندیکاسیون","بدون اندیکاسیون",IF(AND(I29="خارج از جدول",P29&lt;&gt;"بله"),"خارج از جدول بدون تأیید",IF(L29&lt;&gt;"بله","معیار مستند نشده",IF(N(X29)&gt;0,"مطابق، دوز مازاد","مطابق"))))))</f>
        <v/>
      </c>
      <c r="AA29" s="13" t="str">
        <f aca="false">IF(B29="","",IFERROR(COUNTIF(J29:Q29,"بله")/(COUNTIF(J29:Q29,"بله")+COUNTIF(J29:Q29,"خیر")),""))</f>
        <v/>
      </c>
      <c r="AB29" s="14" t="str">
        <f aca="false">IF(B29="","",IF(Z29="مطابق",0,IF(Z29="مطابق، دوز مازاد",N(X29)*N(W29),(N(R29)-N(T29))*N(W29))))</f>
        <v/>
      </c>
      <c r="AC29" s="12"/>
      <c r="AD29" s="12"/>
      <c r="AE29" s="10" t="str">
        <f aca="false">IF(B29="","",IF(AND(N(AC29)&gt;0,NOT(OR(Z29="مطابق",Z29="مطابق، دوز مازاد"))),"ریسک کسورات",IF(AND(OR(Z29="مطابق",Z29="مطابق، دوز مازاد"),N(AC29)=0,D29&lt;&gt;"آزاد",D29&lt;&gt;""),"بررسی امکان دریافت از بیمه","")))</f>
        <v/>
      </c>
      <c r="AF29" s="11"/>
    </row>
    <row r="30" customFormat="false" ht="15" hidden="false" customHeight="false" outlineLevel="0" collapsed="false">
      <c r="A30" s="10" t="str">
        <f aca="false">IF(B30="","",ROW()-2)</f>
        <v/>
      </c>
      <c r="B30" s="11"/>
      <c r="C30" s="11"/>
      <c r="D30" s="11"/>
      <c r="E30" s="11"/>
      <c r="F30" s="11"/>
      <c r="G30" s="11"/>
      <c r="H30" s="10" t="str">
        <f aca="false">IF(G30="","",IFERROR(INDEX('اندیکاسیون‌ها'!$C$3:$C$22,MATCH(G30,'اندیکاسیون‌ها'!$A$3:$A$22,0)),"کد نامعتبر"))</f>
        <v/>
      </c>
      <c r="I30" s="10" t="str">
        <f aca="false">IF(G30="","",IFERROR(INDEX('اندیکاسیون‌ها'!$B$3:$B$22,MATCH(G30,'اندیکاسیون‌ها'!$A$3:$A$22,0)),""))</f>
        <v/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0" t="str">
        <f aca="false">IF(G30="","",IFERROR(INDEX('اندیکاسیون‌ها'!$F$3:$F$22,MATCH(G30,'اندیکاسیون‌ها'!$A$3:$A$22,0)),""))</f>
        <v/>
      </c>
      <c r="V30" s="11"/>
      <c r="W30" s="12"/>
      <c r="X30" s="10" t="str">
        <f aca="false">IF(OR(B30="",IF(V30&lt;&gt;"",V30,U30)=""),"",MAX(0,N(R30)-N(T30)-IF(V30&lt;&gt;"",V30,U30)))</f>
        <v/>
      </c>
      <c r="Y30" s="10" t="str">
        <f aca="false">IF(B30="","",N(R30)-N(S30)-N(T30))</f>
        <v/>
      </c>
      <c r="Z30" s="10" t="str">
        <f aca="false">IF(B30="","",IF(OR(G30="",G30="U0"),"اندیکاسیون نامشخص",IF(I30="بدون اندیکاسیون","بدون اندیکاسیون",IF(AND(I30="خارج از جدول",P30&lt;&gt;"بله"),"خارج از جدول بدون تأیید",IF(L30&lt;&gt;"بله","معیار مستند نشده",IF(N(X30)&gt;0,"مطابق، دوز مازاد","مطابق"))))))</f>
        <v/>
      </c>
      <c r="AA30" s="13" t="str">
        <f aca="false">IF(B30="","",IFERROR(COUNTIF(J30:Q30,"بله")/(COUNTIF(J30:Q30,"بله")+COUNTIF(J30:Q30,"خیر")),""))</f>
        <v/>
      </c>
      <c r="AB30" s="14" t="str">
        <f aca="false">IF(B30="","",IF(Z30="مطابق",0,IF(Z30="مطابق، دوز مازاد",N(X30)*N(W30),(N(R30)-N(T30))*N(W30))))</f>
        <v/>
      </c>
      <c r="AC30" s="12"/>
      <c r="AD30" s="12"/>
      <c r="AE30" s="10" t="str">
        <f aca="false">IF(B30="","",IF(AND(N(AC30)&gt;0,NOT(OR(Z30="مطابق",Z30="مطابق، دوز مازاد"))),"ریسک کسورات",IF(AND(OR(Z30="مطابق",Z30="مطابق، دوز مازاد"),N(AC30)=0,D30&lt;&gt;"آزاد",D30&lt;&gt;""),"بررسی امکان دریافت از بیمه","")))</f>
        <v/>
      </c>
      <c r="AF30" s="11"/>
    </row>
    <row r="31" customFormat="false" ht="15" hidden="false" customHeight="false" outlineLevel="0" collapsed="false">
      <c r="A31" s="10" t="str">
        <f aca="false">IF(B31="","",ROW()-2)</f>
        <v/>
      </c>
      <c r="B31" s="11"/>
      <c r="C31" s="11"/>
      <c r="D31" s="11"/>
      <c r="E31" s="11"/>
      <c r="F31" s="11"/>
      <c r="G31" s="11"/>
      <c r="H31" s="10" t="str">
        <f aca="false">IF(G31="","",IFERROR(INDEX('اندیکاسیون‌ها'!$C$3:$C$22,MATCH(G31,'اندیکاسیون‌ها'!$A$3:$A$22,0)),"کد نامعتبر"))</f>
        <v/>
      </c>
      <c r="I31" s="10" t="str">
        <f aca="false">IF(G31="","",IFERROR(INDEX('اندیکاسیون‌ها'!$B$3:$B$22,MATCH(G31,'اندیکاسیون‌ها'!$A$3:$A$22,0)),""))</f>
        <v/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0" t="str">
        <f aca="false">IF(G31="","",IFERROR(INDEX('اندیکاسیون‌ها'!$F$3:$F$22,MATCH(G31,'اندیکاسیون‌ها'!$A$3:$A$22,0)),""))</f>
        <v/>
      </c>
      <c r="V31" s="11"/>
      <c r="W31" s="12"/>
      <c r="X31" s="10" t="str">
        <f aca="false">IF(OR(B31="",IF(V31&lt;&gt;"",V31,U31)=""),"",MAX(0,N(R31)-N(T31)-IF(V31&lt;&gt;"",V31,U31)))</f>
        <v/>
      </c>
      <c r="Y31" s="10" t="str">
        <f aca="false">IF(B31="","",N(R31)-N(S31)-N(T31))</f>
        <v/>
      </c>
      <c r="Z31" s="10" t="str">
        <f aca="false">IF(B31="","",IF(OR(G31="",G31="U0"),"اندیکاسیون نامشخص",IF(I31="بدون اندیکاسیون","بدون اندیکاسیون",IF(AND(I31="خارج از جدول",P31&lt;&gt;"بله"),"خارج از جدول بدون تأیید",IF(L31&lt;&gt;"بله","معیار مستند نشده",IF(N(X31)&gt;0,"مطابق، دوز مازاد","مطابق"))))))</f>
        <v/>
      </c>
      <c r="AA31" s="13" t="str">
        <f aca="false">IF(B31="","",IFERROR(COUNTIF(J31:Q31,"بله")/(COUNTIF(J31:Q31,"بله")+COUNTIF(J31:Q31,"خیر")),""))</f>
        <v/>
      </c>
      <c r="AB31" s="14" t="str">
        <f aca="false">IF(B31="","",IF(Z31="مطابق",0,IF(Z31="مطابق، دوز مازاد",N(X31)*N(W31),(N(R31)-N(T31))*N(W31))))</f>
        <v/>
      </c>
      <c r="AC31" s="12"/>
      <c r="AD31" s="12"/>
      <c r="AE31" s="10" t="str">
        <f aca="false">IF(B31="","",IF(AND(N(AC31)&gt;0,NOT(OR(Z31="مطابق",Z31="مطابق، دوز مازاد"))),"ریسک کسورات",IF(AND(OR(Z31="مطابق",Z31="مطابق، دوز مازاد"),N(AC31)=0,D31&lt;&gt;"آزاد",D31&lt;&gt;""),"بررسی امکان دریافت از بیمه","")))</f>
        <v/>
      </c>
      <c r="AF31" s="11"/>
    </row>
    <row r="32" customFormat="false" ht="15" hidden="false" customHeight="false" outlineLevel="0" collapsed="false">
      <c r="A32" s="10" t="str">
        <f aca="false">IF(B32="","",ROW()-2)</f>
        <v/>
      </c>
      <c r="B32" s="11"/>
      <c r="C32" s="11"/>
      <c r="D32" s="11"/>
      <c r="E32" s="11"/>
      <c r="F32" s="11"/>
      <c r="G32" s="11"/>
      <c r="H32" s="10" t="str">
        <f aca="false">IF(G32="","",IFERROR(INDEX('اندیکاسیون‌ها'!$C$3:$C$22,MATCH(G32,'اندیکاسیون‌ها'!$A$3:$A$22,0)),"کد نامعتبر"))</f>
        <v/>
      </c>
      <c r="I32" s="10" t="str">
        <f aca="false">IF(G32="","",IFERROR(INDEX('اندیکاسیون‌ها'!$B$3:$B$22,MATCH(G32,'اندیکاسیون‌ها'!$A$3:$A$22,0)),""))</f>
        <v/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0" t="str">
        <f aca="false">IF(G32="","",IFERROR(INDEX('اندیکاسیون‌ها'!$F$3:$F$22,MATCH(G32,'اندیکاسیون‌ها'!$A$3:$A$22,0)),""))</f>
        <v/>
      </c>
      <c r="V32" s="11"/>
      <c r="W32" s="12"/>
      <c r="X32" s="10" t="str">
        <f aca="false">IF(OR(B32="",IF(V32&lt;&gt;"",V32,U32)=""),"",MAX(0,N(R32)-N(T32)-IF(V32&lt;&gt;"",V32,U32)))</f>
        <v/>
      </c>
      <c r="Y32" s="10" t="str">
        <f aca="false">IF(B32="","",N(R32)-N(S32)-N(T32))</f>
        <v/>
      </c>
      <c r="Z32" s="10" t="str">
        <f aca="false">IF(B32="","",IF(OR(G32="",G32="U0"),"اندیکاسیون نامشخص",IF(I32="بدون اندیکاسیون","بدون اندیکاسیون",IF(AND(I32="خارج از جدول",P32&lt;&gt;"بله"),"خارج از جدول بدون تأیید",IF(L32&lt;&gt;"بله","معیار مستند نشده",IF(N(X32)&gt;0,"مطابق، دوز مازاد","مطابق"))))))</f>
        <v/>
      </c>
      <c r="AA32" s="13" t="str">
        <f aca="false">IF(B32="","",IFERROR(COUNTIF(J32:Q32,"بله")/(COUNTIF(J32:Q32,"بله")+COUNTIF(J32:Q32,"خیر")),""))</f>
        <v/>
      </c>
      <c r="AB32" s="14" t="str">
        <f aca="false">IF(B32="","",IF(Z32="مطابق",0,IF(Z32="مطابق، دوز مازاد",N(X32)*N(W32),(N(R32)-N(T32))*N(W32))))</f>
        <v/>
      </c>
      <c r="AC32" s="12"/>
      <c r="AD32" s="12"/>
      <c r="AE32" s="10" t="str">
        <f aca="false">IF(B32="","",IF(AND(N(AC32)&gt;0,NOT(OR(Z32="مطابق",Z32="مطابق، دوز مازاد"))),"ریسک کسورات",IF(AND(OR(Z32="مطابق",Z32="مطابق، دوز مازاد"),N(AC32)=0,D32&lt;&gt;"آزاد",D32&lt;&gt;""),"بررسی امکان دریافت از بیمه","")))</f>
        <v/>
      </c>
      <c r="AF32" s="11"/>
    </row>
    <row r="33" customFormat="false" ht="15" hidden="false" customHeight="false" outlineLevel="0" collapsed="false">
      <c r="A33" s="10" t="str">
        <f aca="false">IF(B33="","",ROW()-2)</f>
        <v/>
      </c>
      <c r="B33" s="11"/>
      <c r="C33" s="11"/>
      <c r="D33" s="11"/>
      <c r="E33" s="11"/>
      <c r="F33" s="11"/>
      <c r="G33" s="11"/>
      <c r="H33" s="10" t="str">
        <f aca="false">IF(G33="","",IFERROR(INDEX('اندیکاسیون‌ها'!$C$3:$C$22,MATCH(G33,'اندیکاسیون‌ها'!$A$3:$A$22,0)),"کد نامعتبر"))</f>
        <v/>
      </c>
      <c r="I33" s="10" t="str">
        <f aca="false">IF(G33="","",IFERROR(INDEX('اندیکاسیون‌ها'!$B$3:$B$22,MATCH(G33,'اندیکاسیون‌ها'!$A$3:$A$22,0)),""))</f>
        <v/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0" t="str">
        <f aca="false">IF(G33="","",IFERROR(INDEX('اندیکاسیون‌ها'!$F$3:$F$22,MATCH(G33,'اندیکاسیون‌ها'!$A$3:$A$22,0)),""))</f>
        <v/>
      </c>
      <c r="V33" s="11"/>
      <c r="W33" s="12"/>
      <c r="X33" s="10" t="str">
        <f aca="false">IF(OR(B33="",IF(V33&lt;&gt;"",V33,U33)=""),"",MAX(0,N(R33)-N(T33)-IF(V33&lt;&gt;"",V33,U33)))</f>
        <v/>
      </c>
      <c r="Y33" s="10" t="str">
        <f aca="false">IF(B33="","",N(R33)-N(S33)-N(T33))</f>
        <v/>
      </c>
      <c r="Z33" s="10" t="str">
        <f aca="false">IF(B33="","",IF(OR(G33="",G33="U0"),"اندیکاسیون نامشخص",IF(I33="بدون اندیکاسیون","بدون اندیکاسیون",IF(AND(I33="خارج از جدول",P33&lt;&gt;"بله"),"خارج از جدول بدون تأیید",IF(L33&lt;&gt;"بله","معیار مستند نشده",IF(N(X33)&gt;0,"مطابق، دوز مازاد","مطابق"))))))</f>
        <v/>
      </c>
      <c r="AA33" s="13" t="str">
        <f aca="false">IF(B33="","",IFERROR(COUNTIF(J33:Q33,"بله")/(COUNTIF(J33:Q33,"بله")+COUNTIF(J33:Q33,"خیر")),""))</f>
        <v/>
      </c>
      <c r="AB33" s="14" t="str">
        <f aca="false">IF(B33="","",IF(Z33="مطابق",0,IF(Z33="مطابق، دوز مازاد",N(X33)*N(W33),(N(R33)-N(T33))*N(W33))))</f>
        <v/>
      </c>
      <c r="AC33" s="12"/>
      <c r="AD33" s="12"/>
      <c r="AE33" s="10" t="str">
        <f aca="false">IF(B33="","",IF(AND(N(AC33)&gt;0,NOT(OR(Z33="مطابق",Z33="مطابق، دوز مازاد"))),"ریسک کسورات",IF(AND(OR(Z33="مطابق",Z33="مطابق، دوز مازاد"),N(AC33)=0,D33&lt;&gt;"آزاد",D33&lt;&gt;""),"بررسی امکان دریافت از بیمه","")))</f>
        <v/>
      </c>
      <c r="AF33" s="11"/>
    </row>
    <row r="34" customFormat="false" ht="15" hidden="false" customHeight="false" outlineLevel="0" collapsed="false">
      <c r="A34" s="10" t="str">
        <f aca="false">IF(B34="","",ROW()-2)</f>
        <v/>
      </c>
      <c r="B34" s="11"/>
      <c r="C34" s="11"/>
      <c r="D34" s="11"/>
      <c r="E34" s="11"/>
      <c r="F34" s="11"/>
      <c r="G34" s="11"/>
      <c r="H34" s="10" t="str">
        <f aca="false">IF(G34="","",IFERROR(INDEX('اندیکاسیون‌ها'!$C$3:$C$22,MATCH(G34,'اندیکاسیون‌ها'!$A$3:$A$22,0)),"کد نامعتبر"))</f>
        <v/>
      </c>
      <c r="I34" s="10" t="str">
        <f aca="false">IF(G34="","",IFERROR(INDEX('اندیکاسیون‌ها'!$B$3:$B$22,MATCH(G34,'اندیکاسیون‌ها'!$A$3:$A$22,0)),""))</f>
        <v/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0" t="str">
        <f aca="false">IF(G34="","",IFERROR(INDEX('اندیکاسیون‌ها'!$F$3:$F$22,MATCH(G34,'اندیکاسیون‌ها'!$A$3:$A$22,0)),""))</f>
        <v/>
      </c>
      <c r="V34" s="11"/>
      <c r="W34" s="12"/>
      <c r="X34" s="10" t="str">
        <f aca="false">IF(OR(B34="",IF(V34&lt;&gt;"",V34,U34)=""),"",MAX(0,N(R34)-N(T34)-IF(V34&lt;&gt;"",V34,U34)))</f>
        <v/>
      </c>
      <c r="Y34" s="10" t="str">
        <f aca="false">IF(B34="","",N(R34)-N(S34)-N(T34))</f>
        <v/>
      </c>
      <c r="Z34" s="10" t="str">
        <f aca="false">IF(B34="","",IF(OR(G34="",G34="U0"),"اندیکاسیون نامشخص",IF(I34="بدون اندیکاسیون","بدون اندیکاسیون",IF(AND(I34="خارج از جدول",P34&lt;&gt;"بله"),"خارج از جدول بدون تأیید",IF(L34&lt;&gt;"بله","معیار مستند نشده",IF(N(X34)&gt;0,"مطابق، دوز مازاد","مطابق"))))))</f>
        <v/>
      </c>
      <c r="AA34" s="13" t="str">
        <f aca="false">IF(B34="","",IFERROR(COUNTIF(J34:Q34,"بله")/(COUNTIF(J34:Q34,"بله")+COUNTIF(J34:Q34,"خیر")),""))</f>
        <v/>
      </c>
      <c r="AB34" s="14" t="str">
        <f aca="false">IF(B34="","",IF(Z34="مطابق",0,IF(Z34="مطابق، دوز مازاد",N(X34)*N(W34),(N(R34)-N(T34))*N(W34))))</f>
        <v/>
      </c>
      <c r="AC34" s="12"/>
      <c r="AD34" s="12"/>
      <c r="AE34" s="10" t="str">
        <f aca="false">IF(B34="","",IF(AND(N(AC34)&gt;0,NOT(OR(Z34="مطابق",Z34="مطابق، دوز مازاد"))),"ریسک کسورات",IF(AND(OR(Z34="مطابق",Z34="مطابق، دوز مازاد"),N(AC34)=0,D34&lt;&gt;"آزاد",D34&lt;&gt;""),"بررسی امکان دریافت از بیمه","")))</f>
        <v/>
      </c>
      <c r="AF34" s="11"/>
    </row>
    <row r="35" customFormat="false" ht="15" hidden="false" customHeight="false" outlineLevel="0" collapsed="false">
      <c r="A35" s="10" t="str">
        <f aca="false">IF(B35="","",ROW()-2)</f>
        <v/>
      </c>
      <c r="B35" s="11"/>
      <c r="C35" s="11"/>
      <c r="D35" s="11"/>
      <c r="E35" s="11"/>
      <c r="F35" s="11"/>
      <c r="G35" s="11"/>
      <c r="H35" s="10" t="str">
        <f aca="false">IF(G35="","",IFERROR(INDEX('اندیکاسیون‌ها'!$C$3:$C$22,MATCH(G35,'اندیکاسیون‌ها'!$A$3:$A$22,0)),"کد نامعتبر"))</f>
        <v/>
      </c>
      <c r="I35" s="10" t="str">
        <f aca="false">IF(G35="","",IFERROR(INDEX('اندیکاسیون‌ها'!$B$3:$B$22,MATCH(G35,'اندیکاسیون‌ها'!$A$3:$A$22,0)),""))</f>
        <v/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0" t="str">
        <f aca="false">IF(G35="","",IFERROR(INDEX('اندیکاسیون‌ها'!$F$3:$F$22,MATCH(G35,'اندیکاسیون‌ها'!$A$3:$A$22,0)),""))</f>
        <v/>
      </c>
      <c r="V35" s="11"/>
      <c r="W35" s="12"/>
      <c r="X35" s="10" t="str">
        <f aca="false">IF(OR(B35="",IF(V35&lt;&gt;"",V35,U35)=""),"",MAX(0,N(R35)-N(T35)-IF(V35&lt;&gt;"",V35,U35)))</f>
        <v/>
      </c>
      <c r="Y35" s="10" t="str">
        <f aca="false">IF(B35="","",N(R35)-N(S35)-N(T35))</f>
        <v/>
      </c>
      <c r="Z35" s="10" t="str">
        <f aca="false">IF(B35="","",IF(OR(G35="",G35="U0"),"اندیکاسیون نامشخص",IF(I35="بدون اندیکاسیون","بدون اندیکاسیون",IF(AND(I35="خارج از جدول",P35&lt;&gt;"بله"),"خارج از جدول بدون تأیید",IF(L35&lt;&gt;"بله","معیار مستند نشده",IF(N(X35)&gt;0,"مطابق، دوز مازاد","مطابق"))))))</f>
        <v/>
      </c>
      <c r="AA35" s="13" t="str">
        <f aca="false">IF(B35="","",IFERROR(COUNTIF(J35:Q35,"بله")/(COUNTIF(J35:Q35,"بله")+COUNTIF(J35:Q35,"خیر")),""))</f>
        <v/>
      </c>
      <c r="AB35" s="14" t="str">
        <f aca="false">IF(B35="","",IF(Z35="مطابق",0,IF(Z35="مطابق، دوز مازاد",N(X35)*N(W35),(N(R35)-N(T35))*N(W35))))</f>
        <v/>
      </c>
      <c r="AC35" s="12"/>
      <c r="AD35" s="12"/>
      <c r="AE35" s="10" t="str">
        <f aca="false">IF(B35="","",IF(AND(N(AC35)&gt;0,NOT(OR(Z35="مطابق",Z35="مطابق، دوز مازاد"))),"ریسک کسورات",IF(AND(OR(Z35="مطابق",Z35="مطابق، دوز مازاد"),N(AC35)=0,D35&lt;&gt;"آزاد",D35&lt;&gt;""),"بررسی امکان دریافت از بیمه","")))</f>
        <v/>
      </c>
      <c r="AF35" s="11"/>
    </row>
    <row r="36" customFormat="false" ht="15" hidden="false" customHeight="false" outlineLevel="0" collapsed="false">
      <c r="A36" s="10" t="str">
        <f aca="false">IF(B36="","",ROW()-2)</f>
        <v/>
      </c>
      <c r="B36" s="11"/>
      <c r="C36" s="11"/>
      <c r="D36" s="11"/>
      <c r="E36" s="11"/>
      <c r="F36" s="11"/>
      <c r="G36" s="11"/>
      <c r="H36" s="10" t="str">
        <f aca="false">IF(G36="","",IFERROR(INDEX('اندیکاسیون‌ها'!$C$3:$C$22,MATCH(G36,'اندیکاسیون‌ها'!$A$3:$A$22,0)),"کد نامعتبر"))</f>
        <v/>
      </c>
      <c r="I36" s="10" t="str">
        <f aca="false">IF(G36="","",IFERROR(INDEX('اندیکاسیون‌ها'!$B$3:$B$22,MATCH(G36,'اندیکاسیون‌ها'!$A$3:$A$22,0)),""))</f>
        <v/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0" t="str">
        <f aca="false">IF(G36="","",IFERROR(INDEX('اندیکاسیون‌ها'!$F$3:$F$22,MATCH(G36,'اندیکاسیون‌ها'!$A$3:$A$22,0)),""))</f>
        <v/>
      </c>
      <c r="V36" s="11"/>
      <c r="W36" s="12"/>
      <c r="X36" s="10" t="str">
        <f aca="false">IF(OR(B36="",IF(V36&lt;&gt;"",V36,U36)=""),"",MAX(0,N(R36)-N(T36)-IF(V36&lt;&gt;"",V36,U36)))</f>
        <v/>
      </c>
      <c r="Y36" s="10" t="str">
        <f aca="false">IF(B36="","",N(R36)-N(S36)-N(T36))</f>
        <v/>
      </c>
      <c r="Z36" s="10" t="str">
        <f aca="false">IF(B36="","",IF(OR(G36="",G36="U0"),"اندیکاسیون نامشخص",IF(I36="بدون اندیکاسیون","بدون اندیکاسیون",IF(AND(I36="خارج از جدول",P36&lt;&gt;"بله"),"خارج از جدول بدون تأیید",IF(L36&lt;&gt;"بله","معیار مستند نشده",IF(N(X36)&gt;0,"مطابق، دوز مازاد","مطابق"))))))</f>
        <v/>
      </c>
      <c r="AA36" s="13" t="str">
        <f aca="false">IF(B36="","",IFERROR(COUNTIF(J36:Q36,"بله")/(COUNTIF(J36:Q36,"بله")+COUNTIF(J36:Q36,"خیر")),""))</f>
        <v/>
      </c>
      <c r="AB36" s="14" t="str">
        <f aca="false">IF(B36="","",IF(Z36="مطابق",0,IF(Z36="مطابق، دوز مازاد",N(X36)*N(W36),(N(R36)-N(T36))*N(W36))))</f>
        <v/>
      </c>
      <c r="AC36" s="12"/>
      <c r="AD36" s="12"/>
      <c r="AE36" s="10" t="str">
        <f aca="false">IF(B36="","",IF(AND(N(AC36)&gt;0,NOT(OR(Z36="مطابق",Z36="مطابق، دوز مازاد"))),"ریسک کسورات",IF(AND(OR(Z36="مطابق",Z36="مطابق، دوز مازاد"),N(AC36)=0,D36&lt;&gt;"آزاد",D36&lt;&gt;""),"بررسی امکان دریافت از بیمه","")))</f>
        <v/>
      </c>
      <c r="AF36" s="11"/>
    </row>
    <row r="37" customFormat="false" ht="15" hidden="false" customHeight="false" outlineLevel="0" collapsed="false">
      <c r="A37" s="10" t="str">
        <f aca="false">IF(B37="","",ROW()-2)</f>
        <v/>
      </c>
      <c r="B37" s="11"/>
      <c r="C37" s="11"/>
      <c r="D37" s="11"/>
      <c r="E37" s="11"/>
      <c r="F37" s="11"/>
      <c r="G37" s="11"/>
      <c r="H37" s="10" t="str">
        <f aca="false">IF(G37="","",IFERROR(INDEX('اندیکاسیون‌ها'!$C$3:$C$22,MATCH(G37,'اندیکاسیون‌ها'!$A$3:$A$22,0)),"کد نامعتبر"))</f>
        <v/>
      </c>
      <c r="I37" s="10" t="str">
        <f aca="false">IF(G37="","",IFERROR(INDEX('اندیکاسیون‌ها'!$B$3:$B$22,MATCH(G37,'اندیکاسیون‌ها'!$A$3:$A$22,0)),""))</f>
        <v/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0" t="str">
        <f aca="false">IF(G37="","",IFERROR(INDEX('اندیکاسیون‌ها'!$F$3:$F$22,MATCH(G37,'اندیکاسیون‌ها'!$A$3:$A$22,0)),""))</f>
        <v/>
      </c>
      <c r="V37" s="11"/>
      <c r="W37" s="12"/>
      <c r="X37" s="10" t="str">
        <f aca="false">IF(OR(B37="",IF(V37&lt;&gt;"",V37,U37)=""),"",MAX(0,N(R37)-N(T37)-IF(V37&lt;&gt;"",V37,U37)))</f>
        <v/>
      </c>
      <c r="Y37" s="10" t="str">
        <f aca="false">IF(B37="","",N(R37)-N(S37)-N(T37))</f>
        <v/>
      </c>
      <c r="Z37" s="10" t="str">
        <f aca="false">IF(B37="","",IF(OR(G37="",G37="U0"),"اندیکاسیون نامشخص",IF(I37="بدون اندیکاسیون","بدون اندیکاسیون",IF(AND(I37="خارج از جدول",P37&lt;&gt;"بله"),"خارج از جدول بدون تأیید",IF(L37&lt;&gt;"بله","معیار مستند نشده",IF(N(X37)&gt;0,"مطابق، دوز مازاد","مطابق"))))))</f>
        <v/>
      </c>
      <c r="AA37" s="13" t="str">
        <f aca="false">IF(B37="","",IFERROR(COUNTIF(J37:Q37,"بله")/(COUNTIF(J37:Q37,"بله")+COUNTIF(J37:Q37,"خیر")),""))</f>
        <v/>
      </c>
      <c r="AB37" s="14" t="str">
        <f aca="false">IF(B37="","",IF(Z37="مطابق",0,IF(Z37="مطابق، دوز مازاد",N(X37)*N(W37),(N(R37)-N(T37))*N(W37))))</f>
        <v/>
      </c>
      <c r="AC37" s="12"/>
      <c r="AD37" s="12"/>
      <c r="AE37" s="10" t="str">
        <f aca="false">IF(B37="","",IF(AND(N(AC37)&gt;0,NOT(OR(Z37="مطابق",Z37="مطابق، دوز مازاد"))),"ریسک کسورات",IF(AND(OR(Z37="مطابق",Z37="مطابق، دوز مازاد"),N(AC37)=0,D37&lt;&gt;"آزاد",D37&lt;&gt;""),"بررسی امکان دریافت از بیمه","")))</f>
        <v/>
      </c>
      <c r="AF37" s="11"/>
    </row>
    <row r="38" customFormat="false" ht="15" hidden="false" customHeight="false" outlineLevel="0" collapsed="false">
      <c r="A38" s="10" t="str">
        <f aca="false">IF(B38="","",ROW()-2)</f>
        <v/>
      </c>
      <c r="B38" s="11"/>
      <c r="C38" s="11"/>
      <c r="D38" s="11"/>
      <c r="E38" s="11"/>
      <c r="F38" s="11"/>
      <c r="G38" s="11"/>
      <c r="H38" s="10" t="str">
        <f aca="false">IF(G38="","",IFERROR(INDEX('اندیکاسیون‌ها'!$C$3:$C$22,MATCH(G38,'اندیکاسیون‌ها'!$A$3:$A$22,0)),"کد نامعتبر"))</f>
        <v/>
      </c>
      <c r="I38" s="10" t="str">
        <f aca="false">IF(G38="","",IFERROR(INDEX('اندیکاسیون‌ها'!$B$3:$B$22,MATCH(G38,'اندیکاسیون‌ها'!$A$3:$A$22,0)),""))</f>
        <v/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0" t="str">
        <f aca="false">IF(G38="","",IFERROR(INDEX('اندیکاسیون‌ها'!$F$3:$F$22,MATCH(G38,'اندیکاسیون‌ها'!$A$3:$A$22,0)),""))</f>
        <v/>
      </c>
      <c r="V38" s="11"/>
      <c r="W38" s="12"/>
      <c r="X38" s="10" t="str">
        <f aca="false">IF(OR(B38="",IF(V38&lt;&gt;"",V38,U38)=""),"",MAX(0,N(R38)-N(T38)-IF(V38&lt;&gt;"",V38,U38)))</f>
        <v/>
      </c>
      <c r="Y38" s="10" t="str">
        <f aca="false">IF(B38="","",N(R38)-N(S38)-N(T38))</f>
        <v/>
      </c>
      <c r="Z38" s="10" t="str">
        <f aca="false">IF(B38="","",IF(OR(G38="",G38="U0"),"اندیکاسیون نامشخص",IF(I38="بدون اندیکاسیون","بدون اندیکاسیون",IF(AND(I38="خارج از جدول",P38&lt;&gt;"بله"),"خارج از جدول بدون تأیید",IF(L38&lt;&gt;"بله","معیار مستند نشده",IF(N(X38)&gt;0,"مطابق، دوز مازاد","مطابق"))))))</f>
        <v/>
      </c>
      <c r="AA38" s="13" t="str">
        <f aca="false">IF(B38="","",IFERROR(COUNTIF(J38:Q38,"بله")/(COUNTIF(J38:Q38,"بله")+COUNTIF(J38:Q38,"خیر")),""))</f>
        <v/>
      </c>
      <c r="AB38" s="14" t="str">
        <f aca="false">IF(B38="","",IF(Z38="مطابق",0,IF(Z38="مطابق، دوز مازاد",N(X38)*N(W38),(N(R38)-N(T38))*N(W38))))</f>
        <v/>
      </c>
      <c r="AC38" s="12"/>
      <c r="AD38" s="12"/>
      <c r="AE38" s="10" t="str">
        <f aca="false">IF(B38="","",IF(AND(N(AC38)&gt;0,NOT(OR(Z38="مطابق",Z38="مطابق، دوز مازاد"))),"ریسک کسورات",IF(AND(OR(Z38="مطابق",Z38="مطابق، دوز مازاد"),N(AC38)=0,D38&lt;&gt;"آزاد",D38&lt;&gt;""),"بررسی امکان دریافت از بیمه","")))</f>
        <v/>
      </c>
      <c r="AF38" s="11"/>
    </row>
    <row r="39" customFormat="false" ht="15" hidden="false" customHeight="false" outlineLevel="0" collapsed="false">
      <c r="A39" s="10" t="str">
        <f aca="false">IF(B39="","",ROW()-2)</f>
        <v/>
      </c>
      <c r="B39" s="11"/>
      <c r="C39" s="11"/>
      <c r="D39" s="11"/>
      <c r="E39" s="11"/>
      <c r="F39" s="11"/>
      <c r="G39" s="11"/>
      <c r="H39" s="10" t="str">
        <f aca="false">IF(G39="","",IFERROR(INDEX('اندیکاسیون‌ها'!$C$3:$C$22,MATCH(G39,'اندیکاسیون‌ها'!$A$3:$A$22,0)),"کد نامعتبر"))</f>
        <v/>
      </c>
      <c r="I39" s="10" t="str">
        <f aca="false">IF(G39="","",IFERROR(INDEX('اندیکاسیون‌ها'!$B$3:$B$22,MATCH(G39,'اندیکاسیون‌ها'!$A$3:$A$22,0)),""))</f>
        <v/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0" t="str">
        <f aca="false">IF(G39="","",IFERROR(INDEX('اندیکاسیون‌ها'!$F$3:$F$22,MATCH(G39,'اندیکاسیون‌ها'!$A$3:$A$22,0)),""))</f>
        <v/>
      </c>
      <c r="V39" s="11"/>
      <c r="W39" s="12"/>
      <c r="X39" s="10" t="str">
        <f aca="false">IF(OR(B39="",IF(V39&lt;&gt;"",V39,U39)=""),"",MAX(0,N(R39)-N(T39)-IF(V39&lt;&gt;"",V39,U39)))</f>
        <v/>
      </c>
      <c r="Y39" s="10" t="str">
        <f aca="false">IF(B39="","",N(R39)-N(S39)-N(T39))</f>
        <v/>
      </c>
      <c r="Z39" s="10" t="str">
        <f aca="false">IF(B39="","",IF(OR(G39="",G39="U0"),"اندیکاسیون نامشخص",IF(I39="بدون اندیکاسیون","بدون اندیکاسیون",IF(AND(I39="خارج از جدول",P39&lt;&gt;"بله"),"خارج از جدول بدون تأیید",IF(L39&lt;&gt;"بله","معیار مستند نشده",IF(N(X39)&gt;0,"مطابق، دوز مازاد","مطابق"))))))</f>
        <v/>
      </c>
      <c r="AA39" s="13" t="str">
        <f aca="false">IF(B39="","",IFERROR(COUNTIF(J39:Q39,"بله")/(COUNTIF(J39:Q39,"بله")+COUNTIF(J39:Q39,"خیر")),""))</f>
        <v/>
      </c>
      <c r="AB39" s="14" t="str">
        <f aca="false">IF(B39="","",IF(Z39="مطابق",0,IF(Z39="مطابق، دوز مازاد",N(X39)*N(W39),(N(R39)-N(T39))*N(W39))))</f>
        <v/>
      </c>
      <c r="AC39" s="12"/>
      <c r="AD39" s="12"/>
      <c r="AE39" s="10" t="str">
        <f aca="false">IF(B39="","",IF(AND(N(AC39)&gt;0,NOT(OR(Z39="مطابق",Z39="مطابق، دوز مازاد"))),"ریسک کسورات",IF(AND(OR(Z39="مطابق",Z39="مطابق، دوز مازاد"),N(AC39)=0,D39&lt;&gt;"آزاد",D39&lt;&gt;""),"بررسی امکان دریافت از بیمه","")))</f>
        <v/>
      </c>
      <c r="AF39" s="11"/>
    </row>
    <row r="40" customFormat="false" ht="15" hidden="false" customHeight="false" outlineLevel="0" collapsed="false">
      <c r="A40" s="10" t="str">
        <f aca="false">IF(B40="","",ROW()-2)</f>
        <v/>
      </c>
      <c r="B40" s="11"/>
      <c r="C40" s="11"/>
      <c r="D40" s="11"/>
      <c r="E40" s="11"/>
      <c r="F40" s="11"/>
      <c r="G40" s="11"/>
      <c r="H40" s="10" t="str">
        <f aca="false">IF(G40="","",IFERROR(INDEX('اندیکاسیون‌ها'!$C$3:$C$22,MATCH(G40,'اندیکاسیون‌ها'!$A$3:$A$22,0)),"کد نامعتبر"))</f>
        <v/>
      </c>
      <c r="I40" s="10" t="str">
        <f aca="false">IF(G40="","",IFERROR(INDEX('اندیکاسیون‌ها'!$B$3:$B$22,MATCH(G40,'اندیکاسیون‌ها'!$A$3:$A$22,0)),""))</f>
        <v/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0" t="str">
        <f aca="false">IF(G40="","",IFERROR(INDEX('اندیکاسیون‌ها'!$F$3:$F$22,MATCH(G40,'اندیکاسیون‌ها'!$A$3:$A$22,0)),""))</f>
        <v/>
      </c>
      <c r="V40" s="11"/>
      <c r="W40" s="12"/>
      <c r="X40" s="10" t="str">
        <f aca="false">IF(OR(B40="",IF(V40&lt;&gt;"",V40,U40)=""),"",MAX(0,N(R40)-N(T40)-IF(V40&lt;&gt;"",V40,U40)))</f>
        <v/>
      </c>
      <c r="Y40" s="10" t="str">
        <f aca="false">IF(B40="","",N(R40)-N(S40)-N(T40))</f>
        <v/>
      </c>
      <c r="Z40" s="10" t="str">
        <f aca="false">IF(B40="","",IF(OR(G40="",G40="U0"),"اندیکاسیون نامشخص",IF(I40="بدون اندیکاسیون","بدون اندیکاسیون",IF(AND(I40="خارج از جدول",P40&lt;&gt;"بله"),"خارج از جدول بدون تأیید",IF(L40&lt;&gt;"بله","معیار مستند نشده",IF(N(X40)&gt;0,"مطابق، دوز مازاد","مطابق"))))))</f>
        <v/>
      </c>
      <c r="AA40" s="13" t="str">
        <f aca="false">IF(B40="","",IFERROR(COUNTIF(J40:Q40,"بله")/(COUNTIF(J40:Q40,"بله")+COUNTIF(J40:Q40,"خیر")),""))</f>
        <v/>
      </c>
      <c r="AB40" s="14" t="str">
        <f aca="false">IF(B40="","",IF(Z40="مطابق",0,IF(Z40="مطابق، دوز مازاد",N(X40)*N(W40),(N(R40)-N(T40))*N(W40))))</f>
        <v/>
      </c>
      <c r="AC40" s="12"/>
      <c r="AD40" s="12"/>
      <c r="AE40" s="10" t="str">
        <f aca="false">IF(B40="","",IF(AND(N(AC40)&gt;0,NOT(OR(Z40="مطابق",Z40="مطابق، دوز مازاد"))),"ریسک کسورات",IF(AND(OR(Z40="مطابق",Z40="مطابق، دوز مازاد"),N(AC40)=0,D40&lt;&gt;"آزاد",D40&lt;&gt;""),"بررسی امکان دریافت از بیمه","")))</f>
        <v/>
      </c>
      <c r="AF40" s="11"/>
    </row>
    <row r="41" customFormat="false" ht="15" hidden="false" customHeight="false" outlineLevel="0" collapsed="false">
      <c r="A41" s="10" t="str">
        <f aca="false">IF(B41="","",ROW()-2)</f>
        <v/>
      </c>
      <c r="B41" s="11"/>
      <c r="C41" s="11"/>
      <c r="D41" s="11"/>
      <c r="E41" s="11"/>
      <c r="F41" s="11"/>
      <c r="G41" s="11"/>
      <c r="H41" s="10" t="str">
        <f aca="false">IF(G41="","",IFERROR(INDEX('اندیکاسیون‌ها'!$C$3:$C$22,MATCH(G41,'اندیکاسیون‌ها'!$A$3:$A$22,0)),"کد نامعتبر"))</f>
        <v/>
      </c>
      <c r="I41" s="10" t="str">
        <f aca="false">IF(G41="","",IFERROR(INDEX('اندیکاسیون‌ها'!$B$3:$B$22,MATCH(G41,'اندیکاسیون‌ها'!$A$3:$A$22,0)),""))</f>
        <v/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0" t="str">
        <f aca="false">IF(G41="","",IFERROR(INDEX('اندیکاسیون‌ها'!$F$3:$F$22,MATCH(G41,'اندیکاسیون‌ها'!$A$3:$A$22,0)),""))</f>
        <v/>
      </c>
      <c r="V41" s="11"/>
      <c r="W41" s="12"/>
      <c r="X41" s="10" t="str">
        <f aca="false">IF(OR(B41="",IF(V41&lt;&gt;"",V41,U41)=""),"",MAX(0,N(R41)-N(T41)-IF(V41&lt;&gt;"",V41,U41)))</f>
        <v/>
      </c>
      <c r="Y41" s="10" t="str">
        <f aca="false">IF(B41="","",N(R41)-N(S41)-N(T41))</f>
        <v/>
      </c>
      <c r="Z41" s="10" t="str">
        <f aca="false">IF(B41="","",IF(OR(G41="",G41="U0"),"اندیکاسیون نامشخص",IF(I41="بدون اندیکاسیون","بدون اندیکاسیون",IF(AND(I41="خارج از جدول",P41&lt;&gt;"بله"),"خارج از جدول بدون تأیید",IF(L41&lt;&gt;"بله","معیار مستند نشده",IF(N(X41)&gt;0,"مطابق، دوز مازاد","مطابق"))))))</f>
        <v/>
      </c>
      <c r="AA41" s="13" t="str">
        <f aca="false">IF(B41="","",IFERROR(COUNTIF(J41:Q41,"بله")/(COUNTIF(J41:Q41,"بله")+COUNTIF(J41:Q41,"خیر")),""))</f>
        <v/>
      </c>
      <c r="AB41" s="14" t="str">
        <f aca="false">IF(B41="","",IF(Z41="مطابق",0,IF(Z41="مطابق، دوز مازاد",N(X41)*N(W41),(N(R41)-N(T41))*N(W41))))</f>
        <v/>
      </c>
      <c r="AC41" s="12"/>
      <c r="AD41" s="12"/>
      <c r="AE41" s="10" t="str">
        <f aca="false">IF(B41="","",IF(AND(N(AC41)&gt;0,NOT(OR(Z41="مطابق",Z41="مطابق، دوز مازاد"))),"ریسک کسورات",IF(AND(OR(Z41="مطابق",Z41="مطابق، دوز مازاد"),N(AC41)=0,D41&lt;&gt;"آزاد",D41&lt;&gt;""),"بررسی امکان دریافت از بیمه","")))</f>
        <v/>
      </c>
      <c r="AF41" s="11"/>
    </row>
    <row r="42" customFormat="false" ht="15" hidden="false" customHeight="false" outlineLevel="0" collapsed="false">
      <c r="A42" s="10" t="str">
        <f aca="false">IF(B42="","",ROW()-2)</f>
        <v/>
      </c>
      <c r="B42" s="11"/>
      <c r="C42" s="11"/>
      <c r="D42" s="11"/>
      <c r="E42" s="11"/>
      <c r="F42" s="11"/>
      <c r="G42" s="11"/>
      <c r="H42" s="10" t="str">
        <f aca="false">IF(G42="","",IFERROR(INDEX('اندیکاسیون‌ها'!$C$3:$C$22,MATCH(G42,'اندیکاسیون‌ها'!$A$3:$A$22,0)),"کد نامعتبر"))</f>
        <v/>
      </c>
      <c r="I42" s="10" t="str">
        <f aca="false">IF(G42="","",IFERROR(INDEX('اندیکاسیون‌ها'!$B$3:$B$22,MATCH(G42,'اندیکاسیون‌ها'!$A$3:$A$22,0)),""))</f>
        <v/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0" t="str">
        <f aca="false">IF(G42="","",IFERROR(INDEX('اندیکاسیون‌ها'!$F$3:$F$22,MATCH(G42,'اندیکاسیون‌ها'!$A$3:$A$22,0)),""))</f>
        <v/>
      </c>
      <c r="V42" s="11"/>
      <c r="W42" s="12"/>
      <c r="X42" s="10" t="str">
        <f aca="false">IF(OR(B42="",IF(V42&lt;&gt;"",V42,U42)=""),"",MAX(0,N(R42)-N(T42)-IF(V42&lt;&gt;"",V42,U42)))</f>
        <v/>
      </c>
      <c r="Y42" s="10" t="str">
        <f aca="false">IF(B42="","",N(R42)-N(S42)-N(T42))</f>
        <v/>
      </c>
      <c r="Z42" s="10" t="str">
        <f aca="false">IF(B42="","",IF(OR(G42="",G42="U0"),"اندیکاسیون نامشخص",IF(I42="بدون اندیکاسیون","بدون اندیکاسیون",IF(AND(I42="خارج از جدول",P42&lt;&gt;"بله"),"خارج از جدول بدون تأیید",IF(L42&lt;&gt;"بله","معیار مستند نشده",IF(N(X42)&gt;0,"مطابق، دوز مازاد","مطابق"))))))</f>
        <v/>
      </c>
      <c r="AA42" s="13" t="str">
        <f aca="false">IF(B42="","",IFERROR(COUNTIF(J42:Q42,"بله")/(COUNTIF(J42:Q42,"بله")+COUNTIF(J42:Q42,"خیر")),""))</f>
        <v/>
      </c>
      <c r="AB42" s="14" t="str">
        <f aca="false">IF(B42="","",IF(Z42="مطابق",0,IF(Z42="مطابق، دوز مازاد",N(X42)*N(W42),(N(R42)-N(T42))*N(W42))))</f>
        <v/>
      </c>
      <c r="AC42" s="12"/>
      <c r="AD42" s="12"/>
      <c r="AE42" s="10" t="str">
        <f aca="false">IF(B42="","",IF(AND(N(AC42)&gt;0,NOT(OR(Z42="مطابق",Z42="مطابق، دوز مازاد"))),"ریسک کسورات",IF(AND(OR(Z42="مطابق",Z42="مطابق، دوز مازاد"),N(AC42)=0,D42&lt;&gt;"آزاد",D42&lt;&gt;""),"بررسی امکان دریافت از بیمه","")))</f>
        <v/>
      </c>
      <c r="AF42" s="11"/>
    </row>
    <row r="43" customFormat="false" ht="15" hidden="false" customHeight="false" outlineLevel="0" collapsed="false">
      <c r="A43" s="10" t="str">
        <f aca="false">IF(B43="","",ROW()-2)</f>
        <v/>
      </c>
      <c r="B43" s="11"/>
      <c r="C43" s="11"/>
      <c r="D43" s="11"/>
      <c r="E43" s="11"/>
      <c r="F43" s="11"/>
      <c r="G43" s="11"/>
      <c r="H43" s="10" t="str">
        <f aca="false">IF(G43="","",IFERROR(INDEX('اندیکاسیون‌ها'!$C$3:$C$22,MATCH(G43,'اندیکاسیون‌ها'!$A$3:$A$22,0)),"کد نامعتبر"))</f>
        <v/>
      </c>
      <c r="I43" s="10" t="str">
        <f aca="false">IF(G43="","",IFERROR(INDEX('اندیکاسیون‌ها'!$B$3:$B$22,MATCH(G43,'اندیکاسیون‌ها'!$A$3:$A$22,0)),""))</f>
        <v/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0" t="str">
        <f aca="false">IF(G43="","",IFERROR(INDEX('اندیکاسیون‌ها'!$F$3:$F$22,MATCH(G43,'اندیکاسیون‌ها'!$A$3:$A$22,0)),""))</f>
        <v/>
      </c>
      <c r="V43" s="11"/>
      <c r="W43" s="12"/>
      <c r="X43" s="10" t="str">
        <f aca="false">IF(OR(B43="",IF(V43&lt;&gt;"",V43,U43)=""),"",MAX(0,N(R43)-N(T43)-IF(V43&lt;&gt;"",V43,U43)))</f>
        <v/>
      </c>
      <c r="Y43" s="10" t="str">
        <f aca="false">IF(B43="","",N(R43)-N(S43)-N(T43))</f>
        <v/>
      </c>
      <c r="Z43" s="10" t="str">
        <f aca="false">IF(B43="","",IF(OR(G43="",G43="U0"),"اندیکاسیون نامشخص",IF(I43="بدون اندیکاسیون","بدون اندیکاسیون",IF(AND(I43="خارج از جدول",P43&lt;&gt;"بله"),"خارج از جدول بدون تأیید",IF(L43&lt;&gt;"بله","معیار مستند نشده",IF(N(X43)&gt;0,"مطابق، دوز مازاد","مطابق"))))))</f>
        <v/>
      </c>
      <c r="AA43" s="13" t="str">
        <f aca="false">IF(B43="","",IFERROR(COUNTIF(J43:Q43,"بله")/(COUNTIF(J43:Q43,"بله")+COUNTIF(J43:Q43,"خیر")),""))</f>
        <v/>
      </c>
      <c r="AB43" s="14" t="str">
        <f aca="false">IF(B43="","",IF(Z43="مطابق",0,IF(Z43="مطابق، دوز مازاد",N(X43)*N(W43),(N(R43)-N(T43))*N(W43))))</f>
        <v/>
      </c>
      <c r="AC43" s="12"/>
      <c r="AD43" s="12"/>
      <c r="AE43" s="10" t="str">
        <f aca="false">IF(B43="","",IF(AND(N(AC43)&gt;0,NOT(OR(Z43="مطابق",Z43="مطابق، دوز مازاد"))),"ریسک کسورات",IF(AND(OR(Z43="مطابق",Z43="مطابق، دوز مازاد"),N(AC43)=0,D43&lt;&gt;"آزاد",D43&lt;&gt;""),"بررسی امکان دریافت از بیمه","")))</f>
        <v/>
      </c>
      <c r="AF43" s="11"/>
    </row>
    <row r="44" customFormat="false" ht="15" hidden="false" customHeight="false" outlineLevel="0" collapsed="false">
      <c r="A44" s="10" t="str">
        <f aca="false">IF(B44="","",ROW()-2)</f>
        <v/>
      </c>
      <c r="B44" s="11"/>
      <c r="C44" s="11"/>
      <c r="D44" s="11"/>
      <c r="E44" s="11"/>
      <c r="F44" s="11"/>
      <c r="G44" s="11"/>
      <c r="H44" s="10" t="str">
        <f aca="false">IF(G44="","",IFERROR(INDEX('اندیکاسیون‌ها'!$C$3:$C$22,MATCH(G44,'اندیکاسیون‌ها'!$A$3:$A$22,0)),"کد نامعتبر"))</f>
        <v/>
      </c>
      <c r="I44" s="10" t="str">
        <f aca="false">IF(G44="","",IFERROR(INDEX('اندیکاسیون‌ها'!$B$3:$B$22,MATCH(G44,'اندیکاسیون‌ها'!$A$3:$A$22,0)),""))</f>
        <v/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0" t="str">
        <f aca="false">IF(G44="","",IFERROR(INDEX('اندیکاسیون‌ها'!$F$3:$F$22,MATCH(G44,'اندیکاسیون‌ها'!$A$3:$A$22,0)),""))</f>
        <v/>
      </c>
      <c r="V44" s="11"/>
      <c r="W44" s="12"/>
      <c r="X44" s="10" t="str">
        <f aca="false">IF(OR(B44="",IF(V44&lt;&gt;"",V44,U44)=""),"",MAX(0,N(R44)-N(T44)-IF(V44&lt;&gt;"",V44,U44)))</f>
        <v/>
      </c>
      <c r="Y44" s="10" t="str">
        <f aca="false">IF(B44="","",N(R44)-N(S44)-N(T44))</f>
        <v/>
      </c>
      <c r="Z44" s="10" t="str">
        <f aca="false">IF(B44="","",IF(OR(G44="",G44="U0"),"اندیکاسیون نامشخص",IF(I44="بدون اندیکاسیون","بدون اندیکاسیون",IF(AND(I44="خارج از جدول",P44&lt;&gt;"بله"),"خارج از جدول بدون تأیید",IF(L44&lt;&gt;"بله","معیار مستند نشده",IF(N(X44)&gt;0,"مطابق، دوز مازاد","مطابق"))))))</f>
        <v/>
      </c>
      <c r="AA44" s="13" t="str">
        <f aca="false">IF(B44="","",IFERROR(COUNTIF(J44:Q44,"بله")/(COUNTIF(J44:Q44,"بله")+COUNTIF(J44:Q44,"خیر")),""))</f>
        <v/>
      </c>
      <c r="AB44" s="14" t="str">
        <f aca="false">IF(B44="","",IF(Z44="مطابق",0,IF(Z44="مطابق، دوز مازاد",N(X44)*N(W44),(N(R44)-N(T44))*N(W44))))</f>
        <v/>
      </c>
      <c r="AC44" s="12"/>
      <c r="AD44" s="12"/>
      <c r="AE44" s="10" t="str">
        <f aca="false">IF(B44="","",IF(AND(N(AC44)&gt;0,NOT(OR(Z44="مطابق",Z44="مطابق، دوز مازاد"))),"ریسک کسورات",IF(AND(OR(Z44="مطابق",Z44="مطابق، دوز مازاد"),N(AC44)=0,D44&lt;&gt;"آزاد",D44&lt;&gt;""),"بررسی امکان دریافت از بیمه","")))</f>
        <v/>
      </c>
      <c r="AF44" s="11"/>
    </row>
    <row r="45" customFormat="false" ht="15" hidden="false" customHeight="false" outlineLevel="0" collapsed="false">
      <c r="A45" s="10" t="str">
        <f aca="false">IF(B45="","",ROW()-2)</f>
        <v/>
      </c>
      <c r="B45" s="11"/>
      <c r="C45" s="11"/>
      <c r="D45" s="11"/>
      <c r="E45" s="11"/>
      <c r="F45" s="11"/>
      <c r="G45" s="11"/>
      <c r="H45" s="10" t="str">
        <f aca="false">IF(G45="","",IFERROR(INDEX('اندیکاسیون‌ها'!$C$3:$C$22,MATCH(G45,'اندیکاسیون‌ها'!$A$3:$A$22,0)),"کد نامعتبر"))</f>
        <v/>
      </c>
      <c r="I45" s="10" t="str">
        <f aca="false">IF(G45="","",IFERROR(INDEX('اندیکاسیون‌ها'!$B$3:$B$22,MATCH(G45,'اندیکاسیون‌ها'!$A$3:$A$22,0)),""))</f>
        <v/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0" t="str">
        <f aca="false">IF(G45="","",IFERROR(INDEX('اندیکاسیون‌ها'!$F$3:$F$22,MATCH(G45,'اندیکاسیون‌ها'!$A$3:$A$22,0)),""))</f>
        <v/>
      </c>
      <c r="V45" s="11"/>
      <c r="W45" s="12"/>
      <c r="X45" s="10" t="str">
        <f aca="false">IF(OR(B45="",IF(V45&lt;&gt;"",V45,U45)=""),"",MAX(0,N(R45)-N(T45)-IF(V45&lt;&gt;"",V45,U45)))</f>
        <v/>
      </c>
      <c r="Y45" s="10" t="str">
        <f aca="false">IF(B45="","",N(R45)-N(S45)-N(T45))</f>
        <v/>
      </c>
      <c r="Z45" s="10" t="str">
        <f aca="false">IF(B45="","",IF(OR(G45="",G45="U0"),"اندیکاسیون نامشخص",IF(I45="بدون اندیکاسیون","بدون اندیکاسیون",IF(AND(I45="خارج از جدول",P45&lt;&gt;"بله"),"خارج از جدول بدون تأیید",IF(L45&lt;&gt;"بله","معیار مستند نشده",IF(N(X45)&gt;0,"مطابق، دوز مازاد","مطابق"))))))</f>
        <v/>
      </c>
      <c r="AA45" s="13" t="str">
        <f aca="false">IF(B45="","",IFERROR(COUNTIF(J45:Q45,"بله")/(COUNTIF(J45:Q45,"بله")+COUNTIF(J45:Q45,"خیر")),""))</f>
        <v/>
      </c>
      <c r="AB45" s="14" t="str">
        <f aca="false">IF(B45="","",IF(Z45="مطابق",0,IF(Z45="مطابق، دوز مازاد",N(X45)*N(W45),(N(R45)-N(T45))*N(W45))))</f>
        <v/>
      </c>
      <c r="AC45" s="12"/>
      <c r="AD45" s="12"/>
      <c r="AE45" s="10" t="str">
        <f aca="false">IF(B45="","",IF(AND(N(AC45)&gt;0,NOT(OR(Z45="مطابق",Z45="مطابق، دوز مازاد"))),"ریسک کسورات",IF(AND(OR(Z45="مطابق",Z45="مطابق، دوز مازاد"),N(AC45)=0,D45&lt;&gt;"آزاد",D45&lt;&gt;""),"بررسی امکان دریافت از بیمه","")))</f>
        <v/>
      </c>
      <c r="AF45" s="11"/>
    </row>
    <row r="46" customFormat="false" ht="15" hidden="false" customHeight="false" outlineLevel="0" collapsed="false">
      <c r="A46" s="10" t="str">
        <f aca="false">IF(B46="","",ROW()-2)</f>
        <v/>
      </c>
      <c r="B46" s="11"/>
      <c r="C46" s="11"/>
      <c r="D46" s="11"/>
      <c r="E46" s="11"/>
      <c r="F46" s="11"/>
      <c r="G46" s="11"/>
      <c r="H46" s="10" t="str">
        <f aca="false">IF(G46="","",IFERROR(INDEX('اندیکاسیون‌ها'!$C$3:$C$22,MATCH(G46,'اندیکاسیون‌ها'!$A$3:$A$22,0)),"کد نامعتبر"))</f>
        <v/>
      </c>
      <c r="I46" s="10" t="str">
        <f aca="false">IF(G46="","",IFERROR(INDEX('اندیکاسیون‌ها'!$B$3:$B$22,MATCH(G46,'اندیکاسیون‌ها'!$A$3:$A$22,0)),""))</f>
        <v/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0" t="str">
        <f aca="false">IF(G46="","",IFERROR(INDEX('اندیکاسیون‌ها'!$F$3:$F$22,MATCH(G46,'اندیکاسیون‌ها'!$A$3:$A$22,0)),""))</f>
        <v/>
      </c>
      <c r="V46" s="11"/>
      <c r="W46" s="12"/>
      <c r="X46" s="10" t="str">
        <f aca="false">IF(OR(B46="",IF(V46&lt;&gt;"",V46,U46)=""),"",MAX(0,N(R46)-N(T46)-IF(V46&lt;&gt;"",V46,U46)))</f>
        <v/>
      </c>
      <c r="Y46" s="10" t="str">
        <f aca="false">IF(B46="","",N(R46)-N(S46)-N(T46))</f>
        <v/>
      </c>
      <c r="Z46" s="10" t="str">
        <f aca="false">IF(B46="","",IF(OR(G46="",G46="U0"),"اندیکاسیون نامشخص",IF(I46="بدون اندیکاسیون","بدون اندیکاسیون",IF(AND(I46="خارج از جدول",P46&lt;&gt;"بله"),"خارج از جدول بدون تأیید",IF(L46&lt;&gt;"بله","معیار مستند نشده",IF(N(X46)&gt;0,"مطابق، دوز مازاد","مطابق"))))))</f>
        <v/>
      </c>
      <c r="AA46" s="13" t="str">
        <f aca="false">IF(B46="","",IFERROR(COUNTIF(J46:Q46,"بله")/(COUNTIF(J46:Q46,"بله")+COUNTIF(J46:Q46,"خیر")),""))</f>
        <v/>
      </c>
      <c r="AB46" s="14" t="str">
        <f aca="false">IF(B46="","",IF(Z46="مطابق",0,IF(Z46="مطابق، دوز مازاد",N(X46)*N(W46),(N(R46)-N(T46))*N(W46))))</f>
        <v/>
      </c>
      <c r="AC46" s="12"/>
      <c r="AD46" s="12"/>
      <c r="AE46" s="10" t="str">
        <f aca="false">IF(B46="","",IF(AND(N(AC46)&gt;0,NOT(OR(Z46="مطابق",Z46="مطابق، دوز مازاد"))),"ریسک کسورات",IF(AND(OR(Z46="مطابق",Z46="مطابق، دوز مازاد"),N(AC46)=0,D46&lt;&gt;"آزاد",D46&lt;&gt;""),"بررسی امکان دریافت از بیمه","")))</f>
        <v/>
      </c>
      <c r="AF46" s="11"/>
    </row>
    <row r="47" customFormat="false" ht="15" hidden="false" customHeight="false" outlineLevel="0" collapsed="false">
      <c r="A47" s="10" t="str">
        <f aca="false">IF(B47="","",ROW()-2)</f>
        <v/>
      </c>
      <c r="B47" s="11"/>
      <c r="C47" s="11"/>
      <c r="D47" s="11"/>
      <c r="E47" s="11"/>
      <c r="F47" s="11"/>
      <c r="G47" s="11"/>
      <c r="H47" s="10" t="str">
        <f aca="false">IF(G47="","",IFERROR(INDEX('اندیکاسیون‌ها'!$C$3:$C$22,MATCH(G47,'اندیکاسیون‌ها'!$A$3:$A$22,0)),"کد نامعتبر"))</f>
        <v/>
      </c>
      <c r="I47" s="10" t="str">
        <f aca="false">IF(G47="","",IFERROR(INDEX('اندیکاسیون‌ها'!$B$3:$B$22,MATCH(G47,'اندیکاسیون‌ها'!$A$3:$A$22,0)),""))</f>
        <v/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0" t="str">
        <f aca="false">IF(G47="","",IFERROR(INDEX('اندیکاسیون‌ها'!$F$3:$F$22,MATCH(G47,'اندیکاسیون‌ها'!$A$3:$A$22,0)),""))</f>
        <v/>
      </c>
      <c r="V47" s="11"/>
      <c r="W47" s="12"/>
      <c r="X47" s="10" t="str">
        <f aca="false">IF(OR(B47="",IF(V47&lt;&gt;"",V47,U47)=""),"",MAX(0,N(R47)-N(T47)-IF(V47&lt;&gt;"",V47,U47)))</f>
        <v/>
      </c>
      <c r="Y47" s="10" t="str">
        <f aca="false">IF(B47="","",N(R47)-N(S47)-N(T47))</f>
        <v/>
      </c>
      <c r="Z47" s="10" t="str">
        <f aca="false">IF(B47="","",IF(OR(G47="",G47="U0"),"اندیکاسیون نامشخص",IF(I47="بدون اندیکاسیون","بدون اندیکاسیون",IF(AND(I47="خارج از جدول",P47&lt;&gt;"بله"),"خارج از جدول بدون تأیید",IF(L47&lt;&gt;"بله","معیار مستند نشده",IF(N(X47)&gt;0,"مطابق، دوز مازاد","مطابق"))))))</f>
        <v/>
      </c>
      <c r="AA47" s="13" t="str">
        <f aca="false">IF(B47="","",IFERROR(COUNTIF(J47:Q47,"بله")/(COUNTIF(J47:Q47,"بله")+COUNTIF(J47:Q47,"خیر")),""))</f>
        <v/>
      </c>
      <c r="AB47" s="14" t="str">
        <f aca="false">IF(B47="","",IF(Z47="مطابق",0,IF(Z47="مطابق، دوز مازاد",N(X47)*N(W47),(N(R47)-N(T47))*N(W47))))</f>
        <v/>
      </c>
      <c r="AC47" s="12"/>
      <c r="AD47" s="12"/>
      <c r="AE47" s="10" t="str">
        <f aca="false">IF(B47="","",IF(AND(N(AC47)&gt;0,NOT(OR(Z47="مطابق",Z47="مطابق، دوز مازاد"))),"ریسک کسورات",IF(AND(OR(Z47="مطابق",Z47="مطابق، دوز مازاد"),N(AC47)=0,D47&lt;&gt;"آزاد",D47&lt;&gt;""),"بررسی امکان دریافت از بیمه","")))</f>
        <v/>
      </c>
      <c r="AF47" s="11"/>
    </row>
    <row r="48" customFormat="false" ht="15" hidden="false" customHeight="false" outlineLevel="0" collapsed="false">
      <c r="A48" s="10" t="str">
        <f aca="false">IF(B48="","",ROW()-2)</f>
        <v/>
      </c>
      <c r="B48" s="11"/>
      <c r="C48" s="11"/>
      <c r="D48" s="11"/>
      <c r="E48" s="11"/>
      <c r="F48" s="11"/>
      <c r="G48" s="11"/>
      <c r="H48" s="10" t="str">
        <f aca="false">IF(G48="","",IFERROR(INDEX('اندیکاسیون‌ها'!$C$3:$C$22,MATCH(G48,'اندیکاسیون‌ها'!$A$3:$A$22,0)),"کد نامعتبر"))</f>
        <v/>
      </c>
      <c r="I48" s="10" t="str">
        <f aca="false">IF(G48="","",IFERROR(INDEX('اندیکاسیون‌ها'!$B$3:$B$22,MATCH(G48,'اندیکاسیون‌ها'!$A$3:$A$22,0)),""))</f>
        <v/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0" t="str">
        <f aca="false">IF(G48="","",IFERROR(INDEX('اندیکاسیون‌ها'!$F$3:$F$22,MATCH(G48,'اندیکاسیون‌ها'!$A$3:$A$22,0)),""))</f>
        <v/>
      </c>
      <c r="V48" s="11"/>
      <c r="W48" s="12"/>
      <c r="X48" s="10" t="str">
        <f aca="false">IF(OR(B48="",IF(V48&lt;&gt;"",V48,U48)=""),"",MAX(0,N(R48)-N(T48)-IF(V48&lt;&gt;"",V48,U48)))</f>
        <v/>
      </c>
      <c r="Y48" s="10" t="str">
        <f aca="false">IF(B48="","",N(R48)-N(S48)-N(T48))</f>
        <v/>
      </c>
      <c r="Z48" s="10" t="str">
        <f aca="false">IF(B48="","",IF(OR(G48="",G48="U0"),"اندیکاسیون نامشخص",IF(I48="بدون اندیکاسیون","بدون اندیکاسیون",IF(AND(I48="خارج از جدول",P48&lt;&gt;"بله"),"خارج از جدول بدون تأیید",IF(L48&lt;&gt;"بله","معیار مستند نشده",IF(N(X48)&gt;0,"مطابق، دوز مازاد","مطابق"))))))</f>
        <v/>
      </c>
      <c r="AA48" s="13" t="str">
        <f aca="false">IF(B48="","",IFERROR(COUNTIF(J48:Q48,"بله")/(COUNTIF(J48:Q48,"بله")+COUNTIF(J48:Q48,"خیر")),""))</f>
        <v/>
      </c>
      <c r="AB48" s="14" t="str">
        <f aca="false">IF(B48="","",IF(Z48="مطابق",0,IF(Z48="مطابق، دوز مازاد",N(X48)*N(W48),(N(R48)-N(T48))*N(W48))))</f>
        <v/>
      </c>
      <c r="AC48" s="12"/>
      <c r="AD48" s="12"/>
      <c r="AE48" s="10" t="str">
        <f aca="false">IF(B48="","",IF(AND(N(AC48)&gt;0,NOT(OR(Z48="مطابق",Z48="مطابق، دوز مازاد"))),"ریسک کسورات",IF(AND(OR(Z48="مطابق",Z48="مطابق، دوز مازاد"),N(AC48)=0,D48&lt;&gt;"آزاد",D48&lt;&gt;""),"بررسی امکان دریافت از بیمه","")))</f>
        <v/>
      </c>
      <c r="AF48" s="11"/>
    </row>
    <row r="49" customFormat="false" ht="15" hidden="false" customHeight="false" outlineLevel="0" collapsed="false">
      <c r="A49" s="10" t="str">
        <f aca="false">IF(B49="","",ROW()-2)</f>
        <v/>
      </c>
      <c r="B49" s="11"/>
      <c r="C49" s="11"/>
      <c r="D49" s="11"/>
      <c r="E49" s="11"/>
      <c r="F49" s="11"/>
      <c r="G49" s="11"/>
      <c r="H49" s="10" t="str">
        <f aca="false">IF(G49="","",IFERROR(INDEX('اندیکاسیون‌ها'!$C$3:$C$22,MATCH(G49,'اندیکاسیون‌ها'!$A$3:$A$22,0)),"کد نامعتبر"))</f>
        <v/>
      </c>
      <c r="I49" s="10" t="str">
        <f aca="false">IF(G49="","",IFERROR(INDEX('اندیکاسیون‌ها'!$B$3:$B$22,MATCH(G49,'اندیکاسیون‌ها'!$A$3:$A$22,0)),""))</f>
        <v/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0" t="str">
        <f aca="false">IF(G49="","",IFERROR(INDEX('اندیکاسیون‌ها'!$F$3:$F$22,MATCH(G49,'اندیکاسیون‌ها'!$A$3:$A$22,0)),""))</f>
        <v/>
      </c>
      <c r="V49" s="11"/>
      <c r="W49" s="12"/>
      <c r="X49" s="10" t="str">
        <f aca="false">IF(OR(B49="",IF(V49&lt;&gt;"",V49,U49)=""),"",MAX(0,N(R49)-N(T49)-IF(V49&lt;&gt;"",V49,U49)))</f>
        <v/>
      </c>
      <c r="Y49" s="10" t="str">
        <f aca="false">IF(B49="","",N(R49)-N(S49)-N(T49))</f>
        <v/>
      </c>
      <c r="Z49" s="10" t="str">
        <f aca="false">IF(B49="","",IF(OR(G49="",G49="U0"),"اندیکاسیون نامشخص",IF(I49="بدون اندیکاسیون","بدون اندیکاسیون",IF(AND(I49="خارج از جدول",P49&lt;&gt;"بله"),"خارج از جدول بدون تأیید",IF(L49&lt;&gt;"بله","معیار مستند نشده",IF(N(X49)&gt;0,"مطابق، دوز مازاد","مطابق"))))))</f>
        <v/>
      </c>
      <c r="AA49" s="13" t="str">
        <f aca="false">IF(B49="","",IFERROR(COUNTIF(J49:Q49,"بله")/(COUNTIF(J49:Q49,"بله")+COUNTIF(J49:Q49,"خیر")),""))</f>
        <v/>
      </c>
      <c r="AB49" s="14" t="str">
        <f aca="false">IF(B49="","",IF(Z49="مطابق",0,IF(Z49="مطابق، دوز مازاد",N(X49)*N(W49),(N(R49)-N(T49))*N(W49))))</f>
        <v/>
      </c>
      <c r="AC49" s="12"/>
      <c r="AD49" s="12"/>
      <c r="AE49" s="10" t="str">
        <f aca="false">IF(B49="","",IF(AND(N(AC49)&gt;0,NOT(OR(Z49="مطابق",Z49="مطابق، دوز مازاد"))),"ریسک کسورات",IF(AND(OR(Z49="مطابق",Z49="مطابق، دوز مازاد"),N(AC49)=0,D49&lt;&gt;"آزاد",D49&lt;&gt;""),"بررسی امکان دریافت از بیمه","")))</f>
        <v/>
      </c>
      <c r="AF49" s="11"/>
    </row>
    <row r="50" customFormat="false" ht="15" hidden="false" customHeight="false" outlineLevel="0" collapsed="false">
      <c r="A50" s="10" t="str">
        <f aca="false">IF(B50="","",ROW()-2)</f>
        <v/>
      </c>
      <c r="B50" s="11"/>
      <c r="C50" s="11"/>
      <c r="D50" s="11"/>
      <c r="E50" s="11"/>
      <c r="F50" s="11"/>
      <c r="G50" s="11"/>
      <c r="H50" s="10" t="str">
        <f aca="false">IF(G50="","",IFERROR(INDEX('اندیکاسیون‌ها'!$C$3:$C$22,MATCH(G50,'اندیکاسیون‌ها'!$A$3:$A$22,0)),"کد نامعتبر"))</f>
        <v/>
      </c>
      <c r="I50" s="10" t="str">
        <f aca="false">IF(G50="","",IFERROR(INDEX('اندیکاسیون‌ها'!$B$3:$B$22,MATCH(G50,'اندیکاسیون‌ها'!$A$3:$A$22,0)),""))</f>
        <v/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0" t="str">
        <f aca="false">IF(G50="","",IFERROR(INDEX('اندیکاسیون‌ها'!$F$3:$F$22,MATCH(G50,'اندیکاسیون‌ها'!$A$3:$A$22,0)),""))</f>
        <v/>
      </c>
      <c r="V50" s="11"/>
      <c r="W50" s="12"/>
      <c r="X50" s="10" t="str">
        <f aca="false">IF(OR(B50="",IF(V50&lt;&gt;"",V50,U50)=""),"",MAX(0,N(R50)-N(T50)-IF(V50&lt;&gt;"",V50,U50)))</f>
        <v/>
      </c>
      <c r="Y50" s="10" t="str">
        <f aca="false">IF(B50="","",N(R50)-N(S50)-N(T50))</f>
        <v/>
      </c>
      <c r="Z50" s="10" t="str">
        <f aca="false">IF(B50="","",IF(OR(G50="",G50="U0"),"اندیکاسیون نامشخص",IF(I50="بدون اندیکاسیون","بدون اندیکاسیون",IF(AND(I50="خارج از جدول",P50&lt;&gt;"بله"),"خارج از جدول بدون تأیید",IF(L50&lt;&gt;"بله","معیار مستند نشده",IF(N(X50)&gt;0,"مطابق، دوز مازاد","مطابق"))))))</f>
        <v/>
      </c>
      <c r="AA50" s="13" t="str">
        <f aca="false">IF(B50="","",IFERROR(COUNTIF(J50:Q50,"بله")/(COUNTIF(J50:Q50,"بله")+COUNTIF(J50:Q50,"خیر")),""))</f>
        <v/>
      </c>
      <c r="AB50" s="14" t="str">
        <f aca="false">IF(B50="","",IF(Z50="مطابق",0,IF(Z50="مطابق، دوز مازاد",N(X50)*N(W50),(N(R50)-N(T50))*N(W50))))</f>
        <v/>
      </c>
      <c r="AC50" s="12"/>
      <c r="AD50" s="12"/>
      <c r="AE50" s="10" t="str">
        <f aca="false">IF(B50="","",IF(AND(N(AC50)&gt;0,NOT(OR(Z50="مطابق",Z50="مطابق، دوز مازاد"))),"ریسک کسورات",IF(AND(OR(Z50="مطابق",Z50="مطابق، دوز مازاد"),N(AC50)=0,D50&lt;&gt;"آزاد",D50&lt;&gt;""),"بررسی امکان دریافت از بیمه","")))</f>
        <v/>
      </c>
      <c r="AF50" s="11"/>
    </row>
    <row r="51" customFormat="false" ht="15" hidden="false" customHeight="false" outlineLevel="0" collapsed="false">
      <c r="A51" s="10" t="str">
        <f aca="false">IF(B51="","",ROW()-2)</f>
        <v/>
      </c>
      <c r="B51" s="11"/>
      <c r="C51" s="11"/>
      <c r="D51" s="11"/>
      <c r="E51" s="11"/>
      <c r="F51" s="11"/>
      <c r="G51" s="11"/>
      <c r="H51" s="10" t="str">
        <f aca="false">IF(G51="","",IFERROR(INDEX('اندیکاسیون‌ها'!$C$3:$C$22,MATCH(G51,'اندیکاسیون‌ها'!$A$3:$A$22,0)),"کد نامعتبر"))</f>
        <v/>
      </c>
      <c r="I51" s="10" t="str">
        <f aca="false">IF(G51="","",IFERROR(INDEX('اندیکاسیون‌ها'!$B$3:$B$22,MATCH(G51,'اندیکاسیون‌ها'!$A$3:$A$22,0)),""))</f>
        <v/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0" t="str">
        <f aca="false">IF(G51="","",IFERROR(INDEX('اندیکاسیون‌ها'!$F$3:$F$22,MATCH(G51,'اندیکاسیون‌ها'!$A$3:$A$22,0)),""))</f>
        <v/>
      </c>
      <c r="V51" s="11"/>
      <c r="W51" s="12"/>
      <c r="X51" s="10" t="str">
        <f aca="false">IF(OR(B51="",IF(V51&lt;&gt;"",V51,U51)=""),"",MAX(0,N(R51)-N(T51)-IF(V51&lt;&gt;"",V51,U51)))</f>
        <v/>
      </c>
      <c r="Y51" s="10" t="str">
        <f aca="false">IF(B51="","",N(R51)-N(S51)-N(T51))</f>
        <v/>
      </c>
      <c r="Z51" s="10" t="str">
        <f aca="false">IF(B51="","",IF(OR(G51="",G51="U0"),"اندیکاسیون نامشخص",IF(I51="بدون اندیکاسیون","بدون اندیکاسیون",IF(AND(I51="خارج از جدول",P51&lt;&gt;"بله"),"خارج از جدول بدون تأیید",IF(L51&lt;&gt;"بله","معیار مستند نشده",IF(N(X51)&gt;0,"مطابق، دوز مازاد","مطابق"))))))</f>
        <v/>
      </c>
      <c r="AA51" s="13" t="str">
        <f aca="false">IF(B51="","",IFERROR(COUNTIF(J51:Q51,"بله")/(COUNTIF(J51:Q51,"بله")+COUNTIF(J51:Q51,"خیر")),""))</f>
        <v/>
      </c>
      <c r="AB51" s="14" t="str">
        <f aca="false">IF(B51="","",IF(Z51="مطابق",0,IF(Z51="مطابق، دوز مازاد",N(X51)*N(W51),(N(R51)-N(T51))*N(W51))))</f>
        <v/>
      </c>
      <c r="AC51" s="12"/>
      <c r="AD51" s="12"/>
      <c r="AE51" s="10" t="str">
        <f aca="false">IF(B51="","",IF(AND(N(AC51)&gt;0,NOT(OR(Z51="مطابق",Z51="مطابق، دوز مازاد"))),"ریسک کسورات",IF(AND(OR(Z51="مطابق",Z51="مطابق، دوز مازاد"),N(AC51)=0,D51&lt;&gt;"آزاد",D51&lt;&gt;""),"بررسی امکان دریافت از بیمه","")))</f>
        <v/>
      </c>
      <c r="AF51" s="11"/>
    </row>
    <row r="52" customFormat="false" ht="15" hidden="false" customHeight="false" outlineLevel="0" collapsed="false">
      <c r="A52" s="10" t="str">
        <f aca="false">IF(B52="","",ROW()-2)</f>
        <v/>
      </c>
      <c r="B52" s="11"/>
      <c r="C52" s="11"/>
      <c r="D52" s="11"/>
      <c r="E52" s="11"/>
      <c r="F52" s="11"/>
      <c r="G52" s="11"/>
      <c r="H52" s="10" t="str">
        <f aca="false">IF(G52="","",IFERROR(INDEX('اندیکاسیون‌ها'!$C$3:$C$22,MATCH(G52,'اندیکاسیون‌ها'!$A$3:$A$22,0)),"کد نامعتبر"))</f>
        <v/>
      </c>
      <c r="I52" s="10" t="str">
        <f aca="false">IF(G52="","",IFERROR(INDEX('اندیکاسیون‌ها'!$B$3:$B$22,MATCH(G52,'اندیکاسیون‌ها'!$A$3:$A$22,0)),""))</f>
        <v/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0" t="str">
        <f aca="false">IF(G52="","",IFERROR(INDEX('اندیکاسیون‌ها'!$F$3:$F$22,MATCH(G52,'اندیکاسیون‌ها'!$A$3:$A$22,0)),""))</f>
        <v/>
      </c>
      <c r="V52" s="11"/>
      <c r="W52" s="12"/>
      <c r="X52" s="10" t="str">
        <f aca="false">IF(OR(B52="",IF(V52&lt;&gt;"",V52,U52)=""),"",MAX(0,N(R52)-N(T52)-IF(V52&lt;&gt;"",V52,U52)))</f>
        <v/>
      </c>
      <c r="Y52" s="10" t="str">
        <f aca="false">IF(B52="","",N(R52)-N(S52)-N(T52))</f>
        <v/>
      </c>
      <c r="Z52" s="10" t="str">
        <f aca="false">IF(B52="","",IF(OR(G52="",G52="U0"),"اندیکاسیون نامشخص",IF(I52="بدون اندیکاسیون","بدون اندیکاسیون",IF(AND(I52="خارج از جدول",P52&lt;&gt;"بله"),"خارج از جدول بدون تأیید",IF(L52&lt;&gt;"بله","معیار مستند نشده",IF(N(X52)&gt;0,"مطابق، دوز مازاد","مطابق"))))))</f>
        <v/>
      </c>
      <c r="AA52" s="13" t="str">
        <f aca="false">IF(B52="","",IFERROR(COUNTIF(J52:Q52,"بله")/(COUNTIF(J52:Q52,"بله")+COUNTIF(J52:Q52,"خیر")),""))</f>
        <v/>
      </c>
      <c r="AB52" s="14" t="str">
        <f aca="false">IF(B52="","",IF(Z52="مطابق",0,IF(Z52="مطابق، دوز مازاد",N(X52)*N(W52),(N(R52)-N(T52))*N(W52))))</f>
        <v/>
      </c>
      <c r="AC52" s="12"/>
      <c r="AD52" s="12"/>
      <c r="AE52" s="10" t="str">
        <f aca="false">IF(B52="","",IF(AND(N(AC52)&gt;0,NOT(OR(Z52="مطابق",Z52="مطابق، دوز مازاد"))),"ریسک کسورات",IF(AND(OR(Z52="مطابق",Z52="مطابق، دوز مازاد"),N(AC52)=0,D52&lt;&gt;"آزاد",D52&lt;&gt;""),"بررسی امکان دریافت از بیمه","")))</f>
        <v/>
      </c>
      <c r="AF52" s="11"/>
    </row>
    <row r="53" customFormat="false" ht="15" hidden="false" customHeight="false" outlineLevel="0" collapsed="false">
      <c r="A53" s="10" t="str">
        <f aca="false">IF(B53="","",ROW()-2)</f>
        <v/>
      </c>
      <c r="B53" s="11"/>
      <c r="C53" s="11"/>
      <c r="D53" s="11"/>
      <c r="E53" s="11"/>
      <c r="F53" s="11"/>
      <c r="G53" s="11"/>
      <c r="H53" s="10" t="str">
        <f aca="false">IF(G53="","",IFERROR(INDEX('اندیکاسیون‌ها'!$C$3:$C$22,MATCH(G53,'اندیکاسیون‌ها'!$A$3:$A$22,0)),"کد نامعتبر"))</f>
        <v/>
      </c>
      <c r="I53" s="10" t="str">
        <f aca="false">IF(G53="","",IFERROR(INDEX('اندیکاسیون‌ها'!$B$3:$B$22,MATCH(G53,'اندیکاسیون‌ها'!$A$3:$A$22,0)),""))</f>
        <v/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0" t="str">
        <f aca="false">IF(G53="","",IFERROR(INDEX('اندیکاسیون‌ها'!$F$3:$F$22,MATCH(G53,'اندیکاسیون‌ها'!$A$3:$A$22,0)),""))</f>
        <v/>
      </c>
      <c r="V53" s="11"/>
      <c r="W53" s="12"/>
      <c r="X53" s="10" t="str">
        <f aca="false">IF(OR(B53="",IF(V53&lt;&gt;"",V53,U53)=""),"",MAX(0,N(R53)-N(T53)-IF(V53&lt;&gt;"",V53,U53)))</f>
        <v/>
      </c>
      <c r="Y53" s="10" t="str">
        <f aca="false">IF(B53="","",N(R53)-N(S53)-N(T53))</f>
        <v/>
      </c>
      <c r="Z53" s="10" t="str">
        <f aca="false">IF(B53="","",IF(OR(G53="",G53="U0"),"اندیکاسیون نامشخص",IF(I53="بدون اندیکاسیون","بدون اندیکاسیون",IF(AND(I53="خارج از جدول",P53&lt;&gt;"بله"),"خارج از جدول بدون تأیید",IF(L53&lt;&gt;"بله","معیار مستند نشده",IF(N(X53)&gt;0,"مطابق، دوز مازاد","مطابق"))))))</f>
        <v/>
      </c>
      <c r="AA53" s="13" t="str">
        <f aca="false">IF(B53="","",IFERROR(COUNTIF(J53:Q53,"بله")/(COUNTIF(J53:Q53,"بله")+COUNTIF(J53:Q53,"خیر")),""))</f>
        <v/>
      </c>
      <c r="AB53" s="14" t="str">
        <f aca="false">IF(B53="","",IF(Z53="مطابق",0,IF(Z53="مطابق، دوز مازاد",N(X53)*N(W53),(N(R53)-N(T53))*N(W53))))</f>
        <v/>
      </c>
      <c r="AC53" s="12"/>
      <c r="AD53" s="12"/>
      <c r="AE53" s="10" t="str">
        <f aca="false">IF(B53="","",IF(AND(N(AC53)&gt;0,NOT(OR(Z53="مطابق",Z53="مطابق، دوز مازاد"))),"ریسک کسورات",IF(AND(OR(Z53="مطابق",Z53="مطابق، دوز مازاد"),N(AC53)=0,D53&lt;&gt;"آزاد",D53&lt;&gt;""),"بررسی امکان دریافت از بیمه","")))</f>
        <v/>
      </c>
      <c r="AF53" s="11"/>
    </row>
    <row r="54" customFormat="false" ht="15" hidden="false" customHeight="false" outlineLevel="0" collapsed="false">
      <c r="A54" s="10" t="str">
        <f aca="false">IF(B54="","",ROW()-2)</f>
        <v/>
      </c>
      <c r="B54" s="11"/>
      <c r="C54" s="11"/>
      <c r="D54" s="11"/>
      <c r="E54" s="11"/>
      <c r="F54" s="11"/>
      <c r="G54" s="11"/>
      <c r="H54" s="10" t="str">
        <f aca="false">IF(G54="","",IFERROR(INDEX('اندیکاسیون‌ها'!$C$3:$C$22,MATCH(G54,'اندیکاسیون‌ها'!$A$3:$A$22,0)),"کد نامعتبر"))</f>
        <v/>
      </c>
      <c r="I54" s="10" t="str">
        <f aca="false">IF(G54="","",IFERROR(INDEX('اندیکاسیون‌ها'!$B$3:$B$22,MATCH(G54,'اندیکاسیون‌ها'!$A$3:$A$22,0)),""))</f>
        <v/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0" t="str">
        <f aca="false">IF(G54="","",IFERROR(INDEX('اندیکاسیون‌ها'!$F$3:$F$22,MATCH(G54,'اندیکاسیون‌ها'!$A$3:$A$22,0)),""))</f>
        <v/>
      </c>
      <c r="V54" s="11"/>
      <c r="W54" s="12"/>
      <c r="X54" s="10" t="str">
        <f aca="false">IF(OR(B54="",IF(V54&lt;&gt;"",V54,U54)=""),"",MAX(0,N(R54)-N(T54)-IF(V54&lt;&gt;"",V54,U54)))</f>
        <v/>
      </c>
      <c r="Y54" s="10" t="str">
        <f aca="false">IF(B54="","",N(R54)-N(S54)-N(T54))</f>
        <v/>
      </c>
      <c r="Z54" s="10" t="str">
        <f aca="false">IF(B54="","",IF(OR(G54="",G54="U0"),"اندیکاسیون نامشخص",IF(I54="بدون اندیکاسیون","بدون اندیکاسیون",IF(AND(I54="خارج از جدول",P54&lt;&gt;"بله"),"خارج از جدول بدون تأیید",IF(L54&lt;&gt;"بله","معیار مستند نشده",IF(N(X54)&gt;0,"مطابق، دوز مازاد","مطابق"))))))</f>
        <v/>
      </c>
      <c r="AA54" s="13" t="str">
        <f aca="false">IF(B54="","",IFERROR(COUNTIF(J54:Q54,"بله")/(COUNTIF(J54:Q54,"بله")+COUNTIF(J54:Q54,"خیر")),""))</f>
        <v/>
      </c>
      <c r="AB54" s="14" t="str">
        <f aca="false">IF(B54="","",IF(Z54="مطابق",0,IF(Z54="مطابق، دوز مازاد",N(X54)*N(W54),(N(R54)-N(T54))*N(W54))))</f>
        <v/>
      </c>
      <c r="AC54" s="12"/>
      <c r="AD54" s="12"/>
      <c r="AE54" s="10" t="str">
        <f aca="false">IF(B54="","",IF(AND(N(AC54)&gt;0,NOT(OR(Z54="مطابق",Z54="مطابق، دوز مازاد"))),"ریسک کسورات",IF(AND(OR(Z54="مطابق",Z54="مطابق، دوز مازاد"),N(AC54)=0,D54&lt;&gt;"آزاد",D54&lt;&gt;""),"بررسی امکان دریافت از بیمه","")))</f>
        <v/>
      </c>
      <c r="AF54" s="11"/>
    </row>
    <row r="55" customFormat="false" ht="15" hidden="false" customHeight="false" outlineLevel="0" collapsed="false">
      <c r="A55" s="10" t="str">
        <f aca="false">IF(B55="","",ROW()-2)</f>
        <v/>
      </c>
      <c r="B55" s="11"/>
      <c r="C55" s="11"/>
      <c r="D55" s="11"/>
      <c r="E55" s="11"/>
      <c r="F55" s="11"/>
      <c r="G55" s="11"/>
      <c r="H55" s="10" t="str">
        <f aca="false">IF(G55="","",IFERROR(INDEX('اندیکاسیون‌ها'!$C$3:$C$22,MATCH(G55,'اندیکاسیون‌ها'!$A$3:$A$22,0)),"کد نامعتبر"))</f>
        <v/>
      </c>
      <c r="I55" s="10" t="str">
        <f aca="false">IF(G55="","",IFERROR(INDEX('اندیکاسیون‌ها'!$B$3:$B$22,MATCH(G55,'اندیکاسیون‌ها'!$A$3:$A$22,0)),""))</f>
        <v/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0" t="str">
        <f aca="false">IF(G55="","",IFERROR(INDEX('اندیکاسیون‌ها'!$F$3:$F$22,MATCH(G55,'اندیکاسیون‌ها'!$A$3:$A$22,0)),""))</f>
        <v/>
      </c>
      <c r="V55" s="11"/>
      <c r="W55" s="12"/>
      <c r="X55" s="10" t="str">
        <f aca="false">IF(OR(B55="",IF(V55&lt;&gt;"",V55,U55)=""),"",MAX(0,N(R55)-N(T55)-IF(V55&lt;&gt;"",V55,U55)))</f>
        <v/>
      </c>
      <c r="Y55" s="10" t="str">
        <f aca="false">IF(B55="","",N(R55)-N(S55)-N(T55))</f>
        <v/>
      </c>
      <c r="Z55" s="10" t="str">
        <f aca="false">IF(B55="","",IF(OR(G55="",G55="U0"),"اندیکاسیون نامشخص",IF(I55="بدون اندیکاسیون","بدون اندیکاسیون",IF(AND(I55="خارج از جدول",P55&lt;&gt;"بله"),"خارج از جدول بدون تأیید",IF(L55&lt;&gt;"بله","معیار مستند نشده",IF(N(X55)&gt;0,"مطابق، دوز مازاد","مطابق"))))))</f>
        <v/>
      </c>
      <c r="AA55" s="13" t="str">
        <f aca="false">IF(B55="","",IFERROR(COUNTIF(J55:Q55,"بله")/(COUNTIF(J55:Q55,"بله")+COUNTIF(J55:Q55,"خیر")),""))</f>
        <v/>
      </c>
      <c r="AB55" s="14" t="str">
        <f aca="false">IF(B55="","",IF(Z55="مطابق",0,IF(Z55="مطابق، دوز مازاد",N(X55)*N(W55),(N(R55)-N(T55))*N(W55))))</f>
        <v/>
      </c>
      <c r="AC55" s="12"/>
      <c r="AD55" s="12"/>
      <c r="AE55" s="10" t="str">
        <f aca="false">IF(B55="","",IF(AND(N(AC55)&gt;0,NOT(OR(Z55="مطابق",Z55="مطابق، دوز مازاد"))),"ریسک کسورات",IF(AND(OR(Z55="مطابق",Z55="مطابق، دوز مازاد"),N(AC55)=0,D55&lt;&gt;"آزاد",D55&lt;&gt;""),"بررسی امکان دریافت از بیمه","")))</f>
        <v/>
      </c>
      <c r="AF55" s="11"/>
    </row>
    <row r="56" customFormat="false" ht="15" hidden="false" customHeight="false" outlineLevel="0" collapsed="false">
      <c r="A56" s="10" t="str">
        <f aca="false">IF(B56="","",ROW()-2)</f>
        <v/>
      </c>
      <c r="B56" s="11"/>
      <c r="C56" s="11"/>
      <c r="D56" s="11"/>
      <c r="E56" s="11"/>
      <c r="F56" s="11"/>
      <c r="G56" s="11"/>
      <c r="H56" s="10" t="str">
        <f aca="false">IF(G56="","",IFERROR(INDEX('اندیکاسیون‌ها'!$C$3:$C$22,MATCH(G56,'اندیکاسیون‌ها'!$A$3:$A$22,0)),"کد نامعتبر"))</f>
        <v/>
      </c>
      <c r="I56" s="10" t="str">
        <f aca="false">IF(G56="","",IFERROR(INDEX('اندیکاسیون‌ها'!$B$3:$B$22,MATCH(G56,'اندیکاسیون‌ها'!$A$3:$A$22,0)),""))</f>
        <v/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0" t="str">
        <f aca="false">IF(G56="","",IFERROR(INDEX('اندیکاسیون‌ها'!$F$3:$F$22,MATCH(G56,'اندیکاسیون‌ها'!$A$3:$A$22,0)),""))</f>
        <v/>
      </c>
      <c r="V56" s="11"/>
      <c r="W56" s="12"/>
      <c r="X56" s="10" t="str">
        <f aca="false">IF(OR(B56="",IF(V56&lt;&gt;"",V56,U56)=""),"",MAX(0,N(R56)-N(T56)-IF(V56&lt;&gt;"",V56,U56)))</f>
        <v/>
      </c>
      <c r="Y56" s="10" t="str">
        <f aca="false">IF(B56="","",N(R56)-N(S56)-N(T56))</f>
        <v/>
      </c>
      <c r="Z56" s="10" t="str">
        <f aca="false">IF(B56="","",IF(OR(G56="",G56="U0"),"اندیکاسیون نامشخص",IF(I56="بدون اندیکاسیون","بدون اندیکاسیون",IF(AND(I56="خارج از جدول",P56&lt;&gt;"بله"),"خارج از جدول بدون تأیید",IF(L56&lt;&gt;"بله","معیار مستند نشده",IF(N(X56)&gt;0,"مطابق، دوز مازاد","مطابق"))))))</f>
        <v/>
      </c>
      <c r="AA56" s="13" t="str">
        <f aca="false">IF(B56="","",IFERROR(COUNTIF(J56:Q56,"بله")/(COUNTIF(J56:Q56,"بله")+COUNTIF(J56:Q56,"خیر")),""))</f>
        <v/>
      </c>
      <c r="AB56" s="14" t="str">
        <f aca="false">IF(B56="","",IF(Z56="مطابق",0,IF(Z56="مطابق، دوز مازاد",N(X56)*N(W56),(N(R56)-N(T56))*N(W56))))</f>
        <v/>
      </c>
      <c r="AC56" s="12"/>
      <c r="AD56" s="12"/>
      <c r="AE56" s="10" t="str">
        <f aca="false">IF(B56="","",IF(AND(N(AC56)&gt;0,NOT(OR(Z56="مطابق",Z56="مطابق، دوز مازاد"))),"ریسک کسورات",IF(AND(OR(Z56="مطابق",Z56="مطابق، دوز مازاد"),N(AC56)=0,D56&lt;&gt;"آزاد",D56&lt;&gt;""),"بررسی امکان دریافت از بیمه","")))</f>
        <v/>
      </c>
      <c r="AF56" s="11"/>
    </row>
    <row r="57" customFormat="false" ht="15" hidden="false" customHeight="false" outlineLevel="0" collapsed="false">
      <c r="A57" s="10" t="str">
        <f aca="false">IF(B57="","",ROW()-2)</f>
        <v/>
      </c>
      <c r="B57" s="11"/>
      <c r="C57" s="11"/>
      <c r="D57" s="11"/>
      <c r="E57" s="11"/>
      <c r="F57" s="11"/>
      <c r="G57" s="11"/>
      <c r="H57" s="10" t="str">
        <f aca="false">IF(G57="","",IFERROR(INDEX('اندیکاسیون‌ها'!$C$3:$C$22,MATCH(G57,'اندیکاسیون‌ها'!$A$3:$A$22,0)),"کد نامعتبر"))</f>
        <v/>
      </c>
      <c r="I57" s="10" t="str">
        <f aca="false">IF(G57="","",IFERROR(INDEX('اندیکاسیون‌ها'!$B$3:$B$22,MATCH(G57,'اندیکاسیون‌ها'!$A$3:$A$22,0)),""))</f>
        <v/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0" t="str">
        <f aca="false">IF(G57="","",IFERROR(INDEX('اندیکاسیون‌ها'!$F$3:$F$22,MATCH(G57,'اندیکاسیون‌ها'!$A$3:$A$22,0)),""))</f>
        <v/>
      </c>
      <c r="V57" s="11"/>
      <c r="W57" s="12"/>
      <c r="X57" s="10" t="str">
        <f aca="false">IF(OR(B57="",IF(V57&lt;&gt;"",V57,U57)=""),"",MAX(0,N(R57)-N(T57)-IF(V57&lt;&gt;"",V57,U57)))</f>
        <v/>
      </c>
      <c r="Y57" s="10" t="str">
        <f aca="false">IF(B57="","",N(R57)-N(S57)-N(T57))</f>
        <v/>
      </c>
      <c r="Z57" s="10" t="str">
        <f aca="false">IF(B57="","",IF(OR(G57="",G57="U0"),"اندیکاسیون نامشخص",IF(I57="بدون اندیکاسیون","بدون اندیکاسیون",IF(AND(I57="خارج از جدول",P57&lt;&gt;"بله"),"خارج از جدول بدون تأیید",IF(L57&lt;&gt;"بله","معیار مستند نشده",IF(N(X57)&gt;0,"مطابق، دوز مازاد","مطابق"))))))</f>
        <v/>
      </c>
      <c r="AA57" s="13" t="str">
        <f aca="false">IF(B57="","",IFERROR(COUNTIF(J57:Q57,"بله")/(COUNTIF(J57:Q57,"بله")+COUNTIF(J57:Q57,"خیر")),""))</f>
        <v/>
      </c>
      <c r="AB57" s="14" t="str">
        <f aca="false">IF(B57="","",IF(Z57="مطابق",0,IF(Z57="مطابق، دوز مازاد",N(X57)*N(W57),(N(R57)-N(T57))*N(W57))))</f>
        <v/>
      </c>
      <c r="AC57" s="12"/>
      <c r="AD57" s="12"/>
      <c r="AE57" s="10" t="str">
        <f aca="false">IF(B57="","",IF(AND(N(AC57)&gt;0,NOT(OR(Z57="مطابق",Z57="مطابق، دوز مازاد"))),"ریسک کسورات",IF(AND(OR(Z57="مطابق",Z57="مطابق، دوز مازاد"),N(AC57)=0,D57&lt;&gt;"آزاد",D57&lt;&gt;""),"بررسی امکان دریافت از بیمه","")))</f>
        <v/>
      </c>
      <c r="AF57" s="11"/>
    </row>
    <row r="58" customFormat="false" ht="15" hidden="false" customHeight="false" outlineLevel="0" collapsed="false">
      <c r="A58" s="10" t="str">
        <f aca="false">IF(B58="","",ROW()-2)</f>
        <v/>
      </c>
      <c r="B58" s="11"/>
      <c r="C58" s="11"/>
      <c r="D58" s="11"/>
      <c r="E58" s="11"/>
      <c r="F58" s="11"/>
      <c r="G58" s="11"/>
      <c r="H58" s="10" t="str">
        <f aca="false">IF(G58="","",IFERROR(INDEX('اندیکاسیون‌ها'!$C$3:$C$22,MATCH(G58,'اندیکاسیون‌ها'!$A$3:$A$22,0)),"کد نامعتبر"))</f>
        <v/>
      </c>
      <c r="I58" s="10" t="str">
        <f aca="false">IF(G58="","",IFERROR(INDEX('اندیکاسیون‌ها'!$B$3:$B$22,MATCH(G58,'اندیکاسیون‌ها'!$A$3:$A$22,0)),""))</f>
        <v/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0" t="str">
        <f aca="false">IF(G58="","",IFERROR(INDEX('اندیکاسیون‌ها'!$F$3:$F$22,MATCH(G58,'اندیکاسیون‌ها'!$A$3:$A$22,0)),""))</f>
        <v/>
      </c>
      <c r="V58" s="11"/>
      <c r="W58" s="12"/>
      <c r="X58" s="10" t="str">
        <f aca="false">IF(OR(B58="",IF(V58&lt;&gt;"",V58,U58)=""),"",MAX(0,N(R58)-N(T58)-IF(V58&lt;&gt;"",V58,U58)))</f>
        <v/>
      </c>
      <c r="Y58" s="10" t="str">
        <f aca="false">IF(B58="","",N(R58)-N(S58)-N(T58))</f>
        <v/>
      </c>
      <c r="Z58" s="10" t="str">
        <f aca="false">IF(B58="","",IF(OR(G58="",G58="U0"),"اندیکاسیون نامشخص",IF(I58="بدون اندیکاسیون","بدون اندیکاسیون",IF(AND(I58="خارج از جدول",P58&lt;&gt;"بله"),"خارج از جدول بدون تأیید",IF(L58&lt;&gt;"بله","معیار مستند نشده",IF(N(X58)&gt;0,"مطابق، دوز مازاد","مطابق"))))))</f>
        <v/>
      </c>
      <c r="AA58" s="13" t="str">
        <f aca="false">IF(B58="","",IFERROR(COUNTIF(J58:Q58,"بله")/(COUNTIF(J58:Q58,"بله")+COUNTIF(J58:Q58,"خیر")),""))</f>
        <v/>
      </c>
      <c r="AB58" s="14" t="str">
        <f aca="false">IF(B58="","",IF(Z58="مطابق",0,IF(Z58="مطابق، دوز مازاد",N(X58)*N(W58),(N(R58)-N(T58))*N(W58))))</f>
        <v/>
      </c>
      <c r="AC58" s="12"/>
      <c r="AD58" s="12"/>
      <c r="AE58" s="10" t="str">
        <f aca="false">IF(B58="","",IF(AND(N(AC58)&gt;0,NOT(OR(Z58="مطابق",Z58="مطابق، دوز مازاد"))),"ریسک کسورات",IF(AND(OR(Z58="مطابق",Z58="مطابق، دوز مازاد"),N(AC58)=0,D58&lt;&gt;"آزاد",D58&lt;&gt;""),"بررسی امکان دریافت از بیمه","")))</f>
        <v/>
      </c>
      <c r="AF58" s="11"/>
    </row>
    <row r="59" customFormat="false" ht="15" hidden="false" customHeight="false" outlineLevel="0" collapsed="false">
      <c r="A59" s="10" t="str">
        <f aca="false">IF(B59="","",ROW()-2)</f>
        <v/>
      </c>
      <c r="B59" s="11"/>
      <c r="C59" s="11"/>
      <c r="D59" s="11"/>
      <c r="E59" s="11"/>
      <c r="F59" s="11"/>
      <c r="G59" s="11"/>
      <c r="H59" s="10" t="str">
        <f aca="false">IF(G59="","",IFERROR(INDEX('اندیکاسیون‌ها'!$C$3:$C$22,MATCH(G59,'اندیکاسیون‌ها'!$A$3:$A$22,0)),"کد نامعتبر"))</f>
        <v/>
      </c>
      <c r="I59" s="10" t="str">
        <f aca="false">IF(G59="","",IFERROR(INDEX('اندیکاسیون‌ها'!$B$3:$B$22,MATCH(G59,'اندیکاسیون‌ها'!$A$3:$A$22,0)),""))</f>
        <v/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0" t="str">
        <f aca="false">IF(G59="","",IFERROR(INDEX('اندیکاسیون‌ها'!$F$3:$F$22,MATCH(G59,'اندیکاسیون‌ها'!$A$3:$A$22,0)),""))</f>
        <v/>
      </c>
      <c r="V59" s="11"/>
      <c r="W59" s="12"/>
      <c r="X59" s="10" t="str">
        <f aca="false">IF(OR(B59="",IF(V59&lt;&gt;"",V59,U59)=""),"",MAX(0,N(R59)-N(T59)-IF(V59&lt;&gt;"",V59,U59)))</f>
        <v/>
      </c>
      <c r="Y59" s="10" t="str">
        <f aca="false">IF(B59="","",N(R59)-N(S59)-N(T59))</f>
        <v/>
      </c>
      <c r="Z59" s="10" t="str">
        <f aca="false">IF(B59="","",IF(OR(G59="",G59="U0"),"اندیکاسیون نامشخص",IF(I59="بدون اندیکاسیون","بدون اندیکاسیون",IF(AND(I59="خارج از جدول",P59&lt;&gt;"بله"),"خارج از جدول بدون تأیید",IF(L59&lt;&gt;"بله","معیار مستند نشده",IF(N(X59)&gt;0,"مطابق، دوز مازاد","مطابق"))))))</f>
        <v/>
      </c>
      <c r="AA59" s="13" t="str">
        <f aca="false">IF(B59="","",IFERROR(COUNTIF(J59:Q59,"بله")/(COUNTIF(J59:Q59,"بله")+COUNTIF(J59:Q59,"خیر")),""))</f>
        <v/>
      </c>
      <c r="AB59" s="14" t="str">
        <f aca="false">IF(B59="","",IF(Z59="مطابق",0,IF(Z59="مطابق، دوز مازاد",N(X59)*N(W59),(N(R59)-N(T59))*N(W59))))</f>
        <v/>
      </c>
      <c r="AC59" s="12"/>
      <c r="AD59" s="12"/>
      <c r="AE59" s="10" t="str">
        <f aca="false">IF(B59="","",IF(AND(N(AC59)&gt;0,NOT(OR(Z59="مطابق",Z59="مطابق، دوز مازاد"))),"ریسک کسورات",IF(AND(OR(Z59="مطابق",Z59="مطابق، دوز مازاد"),N(AC59)=0,D59&lt;&gt;"آزاد",D59&lt;&gt;""),"بررسی امکان دریافت از بیمه","")))</f>
        <v/>
      </c>
      <c r="AF59" s="11"/>
    </row>
    <row r="60" customFormat="false" ht="15" hidden="false" customHeight="false" outlineLevel="0" collapsed="false">
      <c r="A60" s="10" t="str">
        <f aca="false">IF(B60="","",ROW()-2)</f>
        <v/>
      </c>
      <c r="B60" s="11"/>
      <c r="C60" s="11"/>
      <c r="D60" s="11"/>
      <c r="E60" s="11"/>
      <c r="F60" s="11"/>
      <c r="G60" s="11"/>
      <c r="H60" s="10" t="str">
        <f aca="false">IF(G60="","",IFERROR(INDEX('اندیکاسیون‌ها'!$C$3:$C$22,MATCH(G60,'اندیکاسیون‌ها'!$A$3:$A$22,0)),"کد نامعتبر"))</f>
        <v/>
      </c>
      <c r="I60" s="10" t="str">
        <f aca="false">IF(G60="","",IFERROR(INDEX('اندیکاسیون‌ها'!$B$3:$B$22,MATCH(G60,'اندیکاسیون‌ها'!$A$3:$A$22,0)),""))</f>
        <v/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0" t="str">
        <f aca="false">IF(G60="","",IFERROR(INDEX('اندیکاسیون‌ها'!$F$3:$F$22,MATCH(G60,'اندیکاسیون‌ها'!$A$3:$A$22,0)),""))</f>
        <v/>
      </c>
      <c r="V60" s="11"/>
      <c r="W60" s="12"/>
      <c r="X60" s="10" t="str">
        <f aca="false">IF(OR(B60="",IF(V60&lt;&gt;"",V60,U60)=""),"",MAX(0,N(R60)-N(T60)-IF(V60&lt;&gt;"",V60,U60)))</f>
        <v/>
      </c>
      <c r="Y60" s="10" t="str">
        <f aca="false">IF(B60="","",N(R60)-N(S60)-N(T60))</f>
        <v/>
      </c>
      <c r="Z60" s="10" t="str">
        <f aca="false">IF(B60="","",IF(OR(G60="",G60="U0"),"اندیکاسیون نامشخص",IF(I60="بدون اندیکاسیون","بدون اندیکاسیون",IF(AND(I60="خارج از جدول",P60&lt;&gt;"بله"),"خارج از جدول بدون تأیید",IF(L60&lt;&gt;"بله","معیار مستند نشده",IF(N(X60)&gt;0,"مطابق، دوز مازاد","مطابق"))))))</f>
        <v/>
      </c>
      <c r="AA60" s="13" t="str">
        <f aca="false">IF(B60="","",IFERROR(COUNTIF(J60:Q60,"بله")/(COUNTIF(J60:Q60,"بله")+COUNTIF(J60:Q60,"خیر")),""))</f>
        <v/>
      </c>
      <c r="AB60" s="14" t="str">
        <f aca="false">IF(B60="","",IF(Z60="مطابق",0,IF(Z60="مطابق، دوز مازاد",N(X60)*N(W60),(N(R60)-N(T60))*N(W60))))</f>
        <v/>
      </c>
      <c r="AC60" s="12"/>
      <c r="AD60" s="12"/>
      <c r="AE60" s="10" t="str">
        <f aca="false">IF(B60="","",IF(AND(N(AC60)&gt;0,NOT(OR(Z60="مطابق",Z60="مطابق، دوز مازاد"))),"ریسک کسورات",IF(AND(OR(Z60="مطابق",Z60="مطابق، دوز مازاد"),N(AC60)=0,D60&lt;&gt;"آزاد",D60&lt;&gt;""),"بررسی امکان دریافت از بیمه","")))</f>
        <v/>
      </c>
      <c r="AF60" s="11"/>
    </row>
    <row r="61" customFormat="false" ht="15" hidden="false" customHeight="false" outlineLevel="0" collapsed="false">
      <c r="A61" s="10" t="str">
        <f aca="false">IF(B61="","",ROW()-2)</f>
        <v/>
      </c>
      <c r="B61" s="11"/>
      <c r="C61" s="11"/>
      <c r="D61" s="11"/>
      <c r="E61" s="11"/>
      <c r="F61" s="11"/>
      <c r="G61" s="11"/>
      <c r="H61" s="10" t="str">
        <f aca="false">IF(G61="","",IFERROR(INDEX('اندیکاسیون‌ها'!$C$3:$C$22,MATCH(G61,'اندیکاسیون‌ها'!$A$3:$A$22,0)),"کد نامعتبر"))</f>
        <v/>
      </c>
      <c r="I61" s="10" t="str">
        <f aca="false">IF(G61="","",IFERROR(INDEX('اندیکاسیون‌ها'!$B$3:$B$22,MATCH(G61,'اندیکاسیون‌ها'!$A$3:$A$22,0)),""))</f>
        <v/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0" t="str">
        <f aca="false">IF(G61="","",IFERROR(INDEX('اندیکاسیون‌ها'!$F$3:$F$22,MATCH(G61,'اندیکاسیون‌ها'!$A$3:$A$22,0)),""))</f>
        <v/>
      </c>
      <c r="V61" s="11"/>
      <c r="W61" s="12"/>
      <c r="X61" s="10" t="str">
        <f aca="false">IF(OR(B61="",IF(V61&lt;&gt;"",V61,U61)=""),"",MAX(0,N(R61)-N(T61)-IF(V61&lt;&gt;"",V61,U61)))</f>
        <v/>
      </c>
      <c r="Y61" s="10" t="str">
        <f aca="false">IF(B61="","",N(R61)-N(S61)-N(T61))</f>
        <v/>
      </c>
      <c r="Z61" s="10" t="str">
        <f aca="false">IF(B61="","",IF(OR(G61="",G61="U0"),"اندیکاسیون نامشخص",IF(I61="بدون اندیکاسیون","بدون اندیکاسیون",IF(AND(I61="خارج از جدول",P61&lt;&gt;"بله"),"خارج از جدول بدون تأیید",IF(L61&lt;&gt;"بله","معیار مستند نشده",IF(N(X61)&gt;0,"مطابق، دوز مازاد","مطابق"))))))</f>
        <v/>
      </c>
      <c r="AA61" s="13" t="str">
        <f aca="false">IF(B61="","",IFERROR(COUNTIF(J61:Q61,"بله")/(COUNTIF(J61:Q61,"بله")+COUNTIF(J61:Q61,"خیر")),""))</f>
        <v/>
      </c>
      <c r="AB61" s="14" t="str">
        <f aca="false">IF(B61="","",IF(Z61="مطابق",0,IF(Z61="مطابق، دوز مازاد",N(X61)*N(W61),(N(R61)-N(T61))*N(W61))))</f>
        <v/>
      </c>
      <c r="AC61" s="12"/>
      <c r="AD61" s="12"/>
      <c r="AE61" s="10" t="str">
        <f aca="false">IF(B61="","",IF(AND(N(AC61)&gt;0,NOT(OR(Z61="مطابق",Z61="مطابق، دوز مازاد"))),"ریسک کسورات",IF(AND(OR(Z61="مطابق",Z61="مطابق، دوز مازاد"),N(AC61)=0,D61&lt;&gt;"آزاد",D61&lt;&gt;""),"بررسی امکان دریافت از بیمه","")))</f>
        <v/>
      </c>
      <c r="AF61" s="11"/>
    </row>
    <row r="62" customFormat="false" ht="15" hidden="false" customHeight="false" outlineLevel="0" collapsed="false">
      <c r="A62" s="10" t="str">
        <f aca="false">IF(B62="","",ROW()-2)</f>
        <v/>
      </c>
      <c r="B62" s="11"/>
      <c r="C62" s="11"/>
      <c r="D62" s="11"/>
      <c r="E62" s="11"/>
      <c r="F62" s="11"/>
      <c r="G62" s="11"/>
      <c r="H62" s="10" t="str">
        <f aca="false">IF(G62="","",IFERROR(INDEX('اندیکاسیون‌ها'!$C$3:$C$22,MATCH(G62,'اندیکاسیون‌ها'!$A$3:$A$22,0)),"کد نامعتبر"))</f>
        <v/>
      </c>
      <c r="I62" s="10" t="str">
        <f aca="false">IF(G62="","",IFERROR(INDEX('اندیکاسیون‌ها'!$B$3:$B$22,MATCH(G62,'اندیکاسیون‌ها'!$A$3:$A$22,0)),""))</f>
        <v/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0" t="str">
        <f aca="false">IF(G62="","",IFERROR(INDEX('اندیکاسیون‌ها'!$F$3:$F$22,MATCH(G62,'اندیکاسیون‌ها'!$A$3:$A$22,0)),""))</f>
        <v/>
      </c>
      <c r="V62" s="11"/>
      <c r="W62" s="12"/>
      <c r="X62" s="10" t="str">
        <f aca="false">IF(OR(B62="",IF(V62&lt;&gt;"",V62,U62)=""),"",MAX(0,N(R62)-N(T62)-IF(V62&lt;&gt;"",V62,U62)))</f>
        <v/>
      </c>
      <c r="Y62" s="10" t="str">
        <f aca="false">IF(B62="","",N(R62)-N(S62)-N(T62))</f>
        <v/>
      </c>
      <c r="Z62" s="10" t="str">
        <f aca="false">IF(B62="","",IF(OR(G62="",G62="U0"),"اندیکاسیون نامشخص",IF(I62="بدون اندیکاسیون","بدون اندیکاسیون",IF(AND(I62="خارج از جدول",P62&lt;&gt;"بله"),"خارج از جدول بدون تأیید",IF(L62&lt;&gt;"بله","معیار مستند نشده",IF(N(X62)&gt;0,"مطابق، دوز مازاد","مطابق"))))))</f>
        <v/>
      </c>
      <c r="AA62" s="13" t="str">
        <f aca="false">IF(B62="","",IFERROR(COUNTIF(J62:Q62,"بله")/(COUNTIF(J62:Q62,"بله")+COUNTIF(J62:Q62,"خیر")),""))</f>
        <v/>
      </c>
      <c r="AB62" s="14" t="str">
        <f aca="false">IF(B62="","",IF(Z62="مطابق",0,IF(Z62="مطابق، دوز مازاد",N(X62)*N(W62),(N(R62)-N(T62))*N(W62))))</f>
        <v/>
      </c>
      <c r="AC62" s="12"/>
      <c r="AD62" s="12"/>
      <c r="AE62" s="10" t="str">
        <f aca="false">IF(B62="","",IF(AND(N(AC62)&gt;0,NOT(OR(Z62="مطابق",Z62="مطابق، دوز مازاد"))),"ریسک کسورات",IF(AND(OR(Z62="مطابق",Z62="مطابق، دوز مازاد"),N(AC62)=0,D62&lt;&gt;"آزاد",D62&lt;&gt;""),"بررسی امکان دریافت از بیمه","")))</f>
        <v/>
      </c>
      <c r="AF62" s="11"/>
    </row>
    <row r="63" customFormat="false" ht="15" hidden="false" customHeight="false" outlineLevel="0" collapsed="false">
      <c r="A63" s="10" t="str">
        <f aca="false">IF(B63="","",ROW()-2)</f>
        <v/>
      </c>
      <c r="B63" s="11"/>
      <c r="C63" s="11"/>
      <c r="D63" s="11"/>
      <c r="E63" s="11"/>
      <c r="F63" s="11"/>
      <c r="G63" s="11"/>
      <c r="H63" s="10" t="str">
        <f aca="false">IF(G63="","",IFERROR(INDEX('اندیکاسیون‌ها'!$C$3:$C$22,MATCH(G63,'اندیکاسیون‌ها'!$A$3:$A$22,0)),"کد نامعتبر"))</f>
        <v/>
      </c>
      <c r="I63" s="10" t="str">
        <f aca="false">IF(G63="","",IFERROR(INDEX('اندیکاسیون‌ها'!$B$3:$B$22,MATCH(G63,'اندیکاسیون‌ها'!$A$3:$A$22,0)),""))</f>
        <v/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0" t="str">
        <f aca="false">IF(G63="","",IFERROR(INDEX('اندیکاسیون‌ها'!$F$3:$F$22,MATCH(G63,'اندیکاسیون‌ها'!$A$3:$A$22,0)),""))</f>
        <v/>
      </c>
      <c r="V63" s="11"/>
      <c r="W63" s="12"/>
      <c r="X63" s="10" t="str">
        <f aca="false">IF(OR(B63="",IF(V63&lt;&gt;"",V63,U63)=""),"",MAX(0,N(R63)-N(T63)-IF(V63&lt;&gt;"",V63,U63)))</f>
        <v/>
      </c>
      <c r="Y63" s="10" t="str">
        <f aca="false">IF(B63="","",N(R63)-N(S63)-N(T63))</f>
        <v/>
      </c>
      <c r="Z63" s="10" t="str">
        <f aca="false">IF(B63="","",IF(OR(G63="",G63="U0"),"اندیکاسیون نامشخص",IF(I63="بدون اندیکاسیون","بدون اندیکاسیون",IF(AND(I63="خارج از جدول",P63&lt;&gt;"بله"),"خارج از جدول بدون تأیید",IF(L63&lt;&gt;"بله","معیار مستند نشده",IF(N(X63)&gt;0,"مطابق، دوز مازاد","مطابق"))))))</f>
        <v/>
      </c>
      <c r="AA63" s="13" t="str">
        <f aca="false">IF(B63="","",IFERROR(COUNTIF(J63:Q63,"بله")/(COUNTIF(J63:Q63,"بله")+COUNTIF(J63:Q63,"خیر")),""))</f>
        <v/>
      </c>
      <c r="AB63" s="14" t="str">
        <f aca="false">IF(B63="","",IF(Z63="مطابق",0,IF(Z63="مطابق، دوز مازاد",N(X63)*N(W63),(N(R63)-N(T63))*N(W63))))</f>
        <v/>
      </c>
      <c r="AC63" s="12"/>
      <c r="AD63" s="12"/>
      <c r="AE63" s="10" t="str">
        <f aca="false">IF(B63="","",IF(AND(N(AC63)&gt;0,NOT(OR(Z63="مطابق",Z63="مطابق، دوز مازاد"))),"ریسک کسورات",IF(AND(OR(Z63="مطابق",Z63="مطابق، دوز مازاد"),N(AC63)=0,D63&lt;&gt;"آزاد",D63&lt;&gt;""),"بررسی امکان دریافت از بیمه","")))</f>
        <v/>
      </c>
      <c r="AF63" s="11"/>
    </row>
    <row r="64" customFormat="false" ht="15" hidden="false" customHeight="false" outlineLevel="0" collapsed="false">
      <c r="A64" s="10" t="str">
        <f aca="false">IF(B64="","",ROW()-2)</f>
        <v/>
      </c>
      <c r="B64" s="11"/>
      <c r="C64" s="11"/>
      <c r="D64" s="11"/>
      <c r="E64" s="11"/>
      <c r="F64" s="11"/>
      <c r="G64" s="11"/>
      <c r="H64" s="10" t="str">
        <f aca="false">IF(G64="","",IFERROR(INDEX('اندیکاسیون‌ها'!$C$3:$C$22,MATCH(G64,'اندیکاسیون‌ها'!$A$3:$A$22,0)),"کد نامعتبر"))</f>
        <v/>
      </c>
      <c r="I64" s="10" t="str">
        <f aca="false">IF(G64="","",IFERROR(INDEX('اندیکاسیون‌ها'!$B$3:$B$22,MATCH(G64,'اندیکاسیون‌ها'!$A$3:$A$22,0)),""))</f>
        <v/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0" t="str">
        <f aca="false">IF(G64="","",IFERROR(INDEX('اندیکاسیون‌ها'!$F$3:$F$22,MATCH(G64,'اندیکاسیون‌ها'!$A$3:$A$22,0)),""))</f>
        <v/>
      </c>
      <c r="V64" s="11"/>
      <c r="W64" s="12"/>
      <c r="X64" s="10" t="str">
        <f aca="false">IF(OR(B64="",IF(V64&lt;&gt;"",V64,U64)=""),"",MAX(0,N(R64)-N(T64)-IF(V64&lt;&gt;"",V64,U64)))</f>
        <v/>
      </c>
      <c r="Y64" s="10" t="str">
        <f aca="false">IF(B64="","",N(R64)-N(S64)-N(T64))</f>
        <v/>
      </c>
      <c r="Z64" s="10" t="str">
        <f aca="false">IF(B64="","",IF(OR(G64="",G64="U0"),"اندیکاسیون نامشخص",IF(I64="بدون اندیکاسیون","بدون اندیکاسیون",IF(AND(I64="خارج از جدول",P64&lt;&gt;"بله"),"خارج از جدول بدون تأیید",IF(L64&lt;&gt;"بله","معیار مستند نشده",IF(N(X64)&gt;0,"مطابق، دوز مازاد","مطابق"))))))</f>
        <v/>
      </c>
      <c r="AA64" s="13" t="str">
        <f aca="false">IF(B64="","",IFERROR(COUNTIF(J64:Q64,"بله")/(COUNTIF(J64:Q64,"بله")+COUNTIF(J64:Q64,"خیر")),""))</f>
        <v/>
      </c>
      <c r="AB64" s="14" t="str">
        <f aca="false">IF(B64="","",IF(Z64="مطابق",0,IF(Z64="مطابق، دوز مازاد",N(X64)*N(W64),(N(R64)-N(T64))*N(W64))))</f>
        <v/>
      </c>
      <c r="AC64" s="12"/>
      <c r="AD64" s="12"/>
      <c r="AE64" s="10" t="str">
        <f aca="false">IF(B64="","",IF(AND(N(AC64)&gt;0,NOT(OR(Z64="مطابق",Z64="مطابق، دوز مازاد"))),"ریسک کسورات",IF(AND(OR(Z64="مطابق",Z64="مطابق، دوز مازاد"),N(AC64)=0,D64&lt;&gt;"آزاد",D64&lt;&gt;""),"بررسی امکان دریافت از بیمه","")))</f>
        <v/>
      </c>
      <c r="AF64" s="11"/>
    </row>
    <row r="65" customFormat="false" ht="15" hidden="false" customHeight="false" outlineLevel="0" collapsed="false">
      <c r="A65" s="10" t="str">
        <f aca="false">IF(B65="","",ROW()-2)</f>
        <v/>
      </c>
      <c r="B65" s="11"/>
      <c r="C65" s="11"/>
      <c r="D65" s="11"/>
      <c r="E65" s="11"/>
      <c r="F65" s="11"/>
      <c r="G65" s="11"/>
      <c r="H65" s="10" t="str">
        <f aca="false">IF(G65="","",IFERROR(INDEX('اندیکاسیون‌ها'!$C$3:$C$22,MATCH(G65,'اندیکاسیون‌ها'!$A$3:$A$22,0)),"کد نامعتبر"))</f>
        <v/>
      </c>
      <c r="I65" s="10" t="str">
        <f aca="false">IF(G65="","",IFERROR(INDEX('اندیکاسیون‌ها'!$B$3:$B$22,MATCH(G65,'اندیکاسیون‌ها'!$A$3:$A$22,0)),""))</f>
        <v/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0" t="str">
        <f aca="false">IF(G65="","",IFERROR(INDEX('اندیکاسیون‌ها'!$F$3:$F$22,MATCH(G65,'اندیکاسیون‌ها'!$A$3:$A$22,0)),""))</f>
        <v/>
      </c>
      <c r="V65" s="11"/>
      <c r="W65" s="12"/>
      <c r="X65" s="10" t="str">
        <f aca="false">IF(OR(B65="",IF(V65&lt;&gt;"",V65,U65)=""),"",MAX(0,N(R65)-N(T65)-IF(V65&lt;&gt;"",V65,U65)))</f>
        <v/>
      </c>
      <c r="Y65" s="10" t="str">
        <f aca="false">IF(B65="","",N(R65)-N(S65)-N(T65))</f>
        <v/>
      </c>
      <c r="Z65" s="10" t="str">
        <f aca="false">IF(B65="","",IF(OR(G65="",G65="U0"),"اندیکاسیون نامشخص",IF(I65="بدون اندیکاسیون","بدون اندیکاسیون",IF(AND(I65="خارج از جدول",P65&lt;&gt;"بله"),"خارج از جدول بدون تأیید",IF(L65&lt;&gt;"بله","معیار مستند نشده",IF(N(X65)&gt;0,"مطابق، دوز مازاد","مطابق"))))))</f>
        <v/>
      </c>
      <c r="AA65" s="13" t="str">
        <f aca="false">IF(B65="","",IFERROR(COUNTIF(J65:Q65,"بله")/(COUNTIF(J65:Q65,"بله")+COUNTIF(J65:Q65,"خیر")),""))</f>
        <v/>
      </c>
      <c r="AB65" s="14" t="str">
        <f aca="false">IF(B65="","",IF(Z65="مطابق",0,IF(Z65="مطابق، دوز مازاد",N(X65)*N(W65),(N(R65)-N(T65))*N(W65))))</f>
        <v/>
      </c>
      <c r="AC65" s="12"/>
      <c r="AD65" s="12"/>
      <c r="AE65" s="10" t="str">
        <f aca="false">IF(B65="","",IF(AND(N(AC65)&gt;0,NOT(OR(Z65="مطابق",Z65="مطابق، دوز مازاد"))),"ریسک کسورات",IF(AND(OR(Z65="مطابق",Z65="مطابق، دوز مازاد"),N(AC65)=0,D65&lt;&gt;"آزاد",D65&lt;&gt;""),"بررسی امکان دریافت از بیمه","")))</f>
        <v/>
      </c>
      <c r="AF65" s="11"/>
    </row>
    <row r="66" customFormat="false" ht="15" hidden="false" customHeight="false" outlineLevel="0" collapsed="false">
      <c r="A66" s="10" t="str">
        <f aca="false">IF(B66="","",ROW()-2)</f>
        <v/>
      </c>
      <c r="B66" s="11"/>
      <c r="C66" s="11"/>
      <c r="D66" s="11"/>
      <c r="E66" s="11"/>
      <c r="F66" s="11"/>
      <c r="G66" s="11"/>
      <c r="H66" s="10" t="str">
        <f aca="false">IF(G66="","",IFERROR(INDEX('اندیکاسیون‌ها'!$C$3:$C$22,MATCH(G66,'اندیکاسیون‌ها'!$A$3:$A$22,0)),"کد نامعتبر"))</f>
        <v/>
      </c>
      <c r="I66" s="10" t="str">
        <f aca="false">IF(G66="","",IFERROR(INDEX('اندیکاسیون‌ها'!$B$3:$B$22,MATCH(G66,'اندیکاسیون‌ها'!$A$3:$A$22,0)),""))</f>
        <v/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0" t="str">
        <f aca="false">IF(G66="","",IFERROR(INDEX('اندیکاسیون‌ها'!$F$3:$F$22,MATCH(G66,'اندیکاسیون‌ها'!$A$3:$A$22,0)),""))</f>
        <v/>
      </c>
      <c r="V66" s="11"/>
      <c r="W66" s="12"/>
      <c r="X66" s="10" t="str">
        <f aca="false">IF(OR(B66="",IF(V66&lt;&gt;"",V66,U66)=""),"",MAX(0,N(R66)-N(T66)-IF(V66&lt;&gt;"",V66,U66)))</f>
        <v/>
      </c>
      <c r="Y66" s="10" t="str">
        <f aca="false">IF(B66="","",N(R66)-N(S66)-N(T66))</f>
        <v/>
      </c>
      <c r="Z66" s="10" t="str">
        <f aca="false">IF(B66="","",IF(OR(G66="",G66="U0"),"اندیکاسیون نامشخص",IF(I66="بدون اندیکاسیون","بدون اندیکاسیون",IF(AND(I66="خارج از جدول",P66&lt;&gt;"بله"),"خارج از جدول بدون تأیید",IF(L66&lt;&gt;"بله","معیار مستند نشده",IF(N(X66)&gt;0,"مطابق، دوز مازاد","مطابق"))))))</f>
        <v/>
      </c>
      <c r="AA66" s="13" t="str">
        <f aca="false">IF(B66="","",IFERROR(COUNTIF(J66:Q66,"بله")/(COUNTIF(J66:Q66,"بله")+COUNTIF(J66:Q66,"خیر")),""))</f>
        <v/>
      </c>
      <c r="AB66" s="14" t="str">
        <f aca="false">IF(B66="","",IF(Z66="مطابق",0,IF(Z66="مطابق، دوز مازاد",N(X66)*N(W66),(N(R66)-N(T66))*N(W66))))</f>
        <v/>
      </c>
      <c r="AC66" s="12"/>
      <c r="AD66" s="12"/>
      <c r="AE66" s="10" t="str">
        <f aca="false">IF(B66="","",IF(AND(N(AC66)&gt;0,NOT(OR(Z66="مطابق",Z66="مطابق، دوز مازاد"))),"ریسک کسورات",IF(AND(OR(Z66="مطابق",Z66="مطابق، دوز مازاد"),N(AC66)=0,D66&lt;&gt;"آزاد",D66&lt;&gt;""),"بررسی امکان دریافت از بیمه","")))</f>
        <v/>
      </c>
      <c r="AF66" s="11"/>
    </row>
    <row r="67" customFormat="false" ht="15" hidden="false" customHeight="false" outlineLevel="0" collapsed="false">
      <c r="A67" s="10" t="str">
        <f aca="false">IF(B67="","",ROW()-2)</f>
        <v/>
      </c>
      <c r="B67" s="11"/>
      <c r="C67" s="11"/>
      <c r="D67" s="11"/>
      <c r="E67" s="11"/>
      <c r="F67" s="11"/>
      <c r="G67" s="11"/>
      <c r="H67" s="10" t="str">
        <f aca="false">IF(G67="","",IFERROR(INDEX('اندیکاسیون‌ها'!$C$3:$C$22,MATCH(G67,'اندیکاسیون‌ها'!$A$3:$A$22,0)),"کد نامعتبر"))</f>
        <v/>
      </c>
      <c r="I67" s="10" t="str">
        <f aca="false">IF(G67="","",IFERROR(INDEX('اندیکاسیون‌ها'!$B$3:$B$22,MATCH(G67,'اندیکاسیون‌ها'!$A$3:$A$22,0)),""))</f>
        <v/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0" t="str">
        <f aca="false">IF(G67="","",IFERROR(INDEX('اندیکاسیون‌ها'!$F$3:$F$22,MATCH(G67,'اندیکاسیون‌ها'!$A$3:$A$22,0)),""))</f>
        <v/>
      </c>
      <c r="V67" s="11"/>
      <c r="W67" s="12"/>
      <c r="X67" s="10" t="str">
        <f aca="false">IF(OR(B67="",IF(V67&lt;&gt;"",V67,U67)=""),"",MAX(0,N(R67)-N(T67)-IF(V67&lt;&gt;"",V67,U67)))</f>
        <v/>
      </c>
      <c r="Y67" s="10" t="str">
        <f aca="false">IF(B67="","",N(R67)-N(S67)-N(T67))</f>
        <v/>
      </c>
      <c r="Z67" s="10" t="str">
        <f aca="false">IF(B67="","",IF(OR(G67="",G67="U0"),"اندیکاسیون نامشخص",IF(I67="بدون اندیکاسیون","بدون اندیکاسیون",IF(AND(I67="خارج از جدول",P67&lt;&gt;"بله"),"خارج از جدول بدون تأیید",IF(L67&lt;&gt;"بله","معیار مستند نشده",IF(N(X67)&gt;0,"مطابق، دوز مازاد","مطابق"))))))</f>
        <v/>
      </c>
      <c r="AA67" s="13" t="str">
        <f aca="false">IF(B67="","",IFERROR(COUNTIF(J67:Q67,"بله")/(COUNTIF(J67:Q67,"بله")+COUNTIF(J67:Q67,"خیر")),""))</f>
        <v/>
      </c>
      <c r="AB67" s="14" t="str">
        <f aca="false">IF(B67="","",IF(Z67="مطابق",0,IF(Z67="مطابق، دوز مازاد",N(X67)*N(W67),(N(R67)-N(T67))*N(W67))))</f>
        <v/>
      </c>
      <c r="AC67" s="12"/>
      <c r="AD67" s="12"/>
      <c r="AE67" s="10" t="str">
        <f aca="false">IF(B67="","",IF(AND(N(AC67)&gt;0,NOT(OR(Z67="مطابق",Z67="مطابق، دوز مازاد"))),"ریسک کسورات",IF(AND(OR(Z67="مطابق",Z67="مطابق، دوز مازاد"),N(AC67)=0,D67&lt;&gt;"آزاد",D67&lt;&gt;""),"بررسی امکان دریافت از بیمه","")))</f>
        <v/>
      </c>
      <c r="AF67" s="11"/>
    </row>
    <row r="68" customFormat="false" ht="15" hidden="false" customHeight="false" outlineLevel="0" collapsed="false">
      <c r="A68" s="10" t="str">
        <f aca="false">IF(B68="","",ROW()-2)</f>
        <v/>
      </c>
      <c r="B68" s="11"/>
      <c r="C68" s="11"/>
      <c r="D68" s="11"/>
      <c r="E68" s="11"/>
      <c r="F68" s="11"/>
      <c r="G68" s="11"/>
      <c r="H68" s="10" t="str">
        <f aca="false">IF(G68="","",IFERROR(INDEX('اندیکاسیون‌ها'!$C$3:$C$22,MATCH(G68,'اندیکاسیون‌ها'!$A$3:$A$22,0)),"کد نامعتبر"))</f>
        <v/>
      </c>
      <c r="I68" s="10" t="str">
        <f aca="false">IF(G68="","",IFERROR(INDEX('اندیکاسیون‌ها'!$B$3:$B$22,MATCH(G68,'اندیکاسیون‌ها'!$A$3:$A$22,0)),""))</f>
        <v/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0" t="str">
        <f aca="false">IF(G68="","",IFERROR(INDEX('اندیکاسیون‌ها'!$F$3:$F$22,MATCH(G68,'اندیکاسیون‌ها'!$A$3:$A$22,0)),""))</f>
        <v/>
      </c>
      <c r="V68" s="11"/>
      <c r="W68" s="12"/>
      <c r="X68" s="10" t="str">
        <f aca="false">IF(OR(B68="",IF(V68&lt;&gt;"",V68,U68)=""),"",MAX(0,N(R68)-N(T68)-IF(V68&lt;&gt;"",V68,U68)))</f>
        <v/>
      </c>
      <c r="Y68" s="10" t="str">
        <f aca="false">IF(B68="","",N(R68)-N(S68)-N(T68))</f>
        <v/>
      </c>
      <c r="Z68" s="10" t="str">
        <f aca="false">IF(B68="","",IF(OR(G68="",G68="U0"),"اندیکاسیون نامشخص",IF(I68="بدون اندیکاسیون","بدون اندیکاسیون",IF(AND(I68="خارج از جدول",P68&lt;&gt;"بله"),"خارج از جدول بدون تأیید",IF(L68&lt;&gt;"بله","معیار مستند نشده",IF(N(X68)&gt;0,"مطابق، دوز مازاد","مطابق"))))))</f>
        <v/>
      </c>
      <c r="AA68" s="13" t="str">
        <f aca="false">IF(B68="","",IFERROR(COUNTIF(J68:Q68,"بله")/(COUNTIF(J68:Q68,"بله")+COUNTIF(J68:Q68,"خیر")),""))</f>
        <v/>
      </c>
      <c r="AB68" s="14" t="str">
        <f aca="false">IF(B68="","",IF(Z68="مطابق",0,IF(Z68="مطابق، دوز مازاد",N(X68)*N(W68),(N(R68)-N(T68))*N(W68))))</f>
        <v/>
      </c>
      <c r="AC68" s="12"/>
      <c r="AD68" s="12"/>
      <c r="AE68" s="10" t="str">
        <f aca="false">IF(B68="","",IF(AND(N(AC68)&gt;0,NOT(OR(Z68="مطابق",Z68="مطابق، دوز مازاد"))),"ریسک کسورات",IF(AND(OR(Z68="مطابق",Z68="مطابق، دوز مازاد"),N(AC68)=0,D68&lt;&gt;"آزاد",D68&lt;&gt;""),"بررسی امکان دریافت از بیمه","")))</f>
        <v/>
      </c>
      <c r="AF68" s="11"/>
    </row>
    <row r="69" customFormat="false" ht="15" hidden="false" customHeight="false" outlineLevel="0" collapsed="false">
      <c r="A69" s="10" t="str">
        <f aca="false">IF(B69="","",ROW()-2)</f>
        <v/>
      </c>
      <c r="B69" s="11"/>
      <c r="C69" s="11"/>
      <c r="D69" s="11"/>
      <c r="E69" s="11"/>
      <c r="F69" s="11"/>
      <c r="G69" s="11"/>
      <c r="H69" s="10" t="str">
        <f aca="false">IF(G69="","",IFERROR(INDEX('اندیکاسیون‌ها'!$C$3:$C$22,MATCH(G69,'اندیکاسیون‌ها'!$A$3:$A$22,0)),"کد نامعتبر"))</f>
        <v/>
      </c>
      <c r="I69" s="10" t="str">
        <f aca="false">IF(G69="","",IFERROR(INDEX('اندیکاسیون‌ها'!$B$3:$B$22,MATCH(G69,'اندیکاسیون‌ها'!$A$3:$A$22,0)),""))</f>
        <v/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0" t="str">
        <f aca="false">IF(G69="","",IFERROR(INDEX('اندیکاسیون‌ها'!$F$3:$F$22,MATCH(G69,'اندیکاسیون‌ها'!$A$3:$A$22,0)),""))</f>
        <v/>
      </c>
      <c r="V69" s="11"/>
      <c r="W69" s="12"/>
      <c r="X69" s="10" t="str">
        <f aca="false">IF(OR(B69="",IF(V69&lt;&gt;"",V69,U69)=""),"",MAX(0,N(R69)-N(T69)-IF(V69&lt;&gt;"",V69,U69)))</f>
        <v/>
      </c>
      <c r="Y69" s="10" t="str">
        <f aca="false">IF(B69="","",N(R69)-N(S69)-N(T69))</f>
        <v/>
      </c>
      <c r="Z69" s="10" t="str">
        <f aca="false">IF(B69="","",IF(OR(G69="",G69="U0"),"اندیکاسیون نامشخص",IF(I69="بدون اندیکاسیون","بدون اندیکاسیون",IF(AND(I69="خارج از جدول",P69&lt;&gt;"بله"),"خارج از جدول بدون تأیید",IF(L69&lt;&gt;"بله","معیار مستند نشده",IF(N(X69)&gt;0,"مطابق، دوز مازاد","مطابق"))))))</f>
        <v/>
      </c>
      <c r="AA69" s="13" t="str">
        <f aca="false">IF(B69="","",IFERROR(COUNTIF(J69:Q69,"بله")/(COUNTIF(J69:Q69,"بله")+COUNTIF(J69:Q69,"خیر")),""))</f>
        <v/>
      </c>
      <c r="AB69" s="14" t="str">
        <f aca="false">IF(B69="","",IF(Z69="مطابق",0,IF(Z69="مطابق، دوز مازاد",N(X69)*N(W69),(N(R69)-N(T69))*N(W69))))</f>
        <v/>
      </c>
      <c r="AC69" s="12"/>
      <c r="AD69" s="12"/>
      <c r="AE69" s="10" t="str">
        <f aca="false">IF(B69="","",IF(AND(N(AC69)&gt;0,NOT(OR(Z69="مطابق",Z69="مطابق، دوز مازاد"))),"ریسک کسورات",IF(AND(OR(Z69="مطابق",Z69="مطابق، دوز مازاد"),N(AC69)=0,D69&lt;&gt;"آزاد",D69&lt;&gt;""),"بررسی امکان دریافت از بیمه","")))</f>
        <v/>
      </c>
      <c r="AF69" s="11"/>
    </row>
    <row r="70" customFormat="false" ht="15" hidden="false" customHeight="false" outlineLevel="0" collapsed="false">
      <c r="A70" s="10" t="str">
        <f aca="false">IF(B70="","",ROW()-2)</f>
        <v/>
      </c>
      <c r="B70" s="11"/>
      <c r="C70" s="11"/>
      <c r="D70" s="11"/>
      <c r="E70" s="11"/>
      <c r="F70" s="11"/>
      <c r="G70" s="11"/>
      <c r="H70" s="10" t="str">
        <f aca="false">IF(G70="","",IFERROR(INDEX('اندیکاسیون‌ها'!$C$3:$C$22,MATCH(G70,'اندیکاسیون‌ها'!$A$3:$A$22,0)),"کد نامعتبر"))</f>
        <v/>
      </c>
      <c r="I70" s="10" t="str">
        <f aca="false">IF(G70="","",IFERROR(INDEX('اندیکاسیون‌ها'!$B$3:$B$22,MATCH(G70,'اندیکاسیون‌ها'!$A$3:$A$22,0)),""))</f>
        <v/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0" t="str">
        <f aca="false">IF(G70="","",IFERROR(INDEX('اندیکاسیون‌ها'!$F$3:$F$22,MATCH(G70,'اندیکاسیون‌ها'!$A$3:$A$22,0)),""))</f>
        <v/>
      </c>
      <c r="V70" s="11"/>
      <c r="W70" s="12"/>
      <c r="X70" s="10" t="str">
        <f aca="false">IF(OR(B70="",IF(V70&lt;&gt;"",V70,U70)=""),"",MAX(0,N(R70)-N(T70)-IF(V70&lt;&gt;"",V70,U70)))</f>
        <v/>
      </c>
      <c r="Y70" s="10" t="str">
        <f aca="false">IF(B70="","",N(R70)-N(S70)-N(T70))</f>
        <v/>
      </c>
      <c r="Z70" s="10" t="str">
        <f aca="false">IF(B70="","",IF(OR(G70="",G70="U0"),"اندیکاسیون نامشخص",IF(I70="بدون اندیکاسیون","بدون اندیکاسیون",IF(AND(I70="خارج از جدول",P70&lt;&gt;"بله"),"خارج از جدول بدون تأیید",IF(L70&lt;&gt;"بله","معیار مستند نشده",IF(N(X70)&gt;0,"مطابق، دوز مازاد","مطابق"))))))</f>
        <v/>
      </c>
      <c r="AA70" s="13" t="str">
        <f aca="false">IF(B70="","",IFERROR(COUNTIF(J70:Q70,"بله")/(COUNTIF(J70:Q70,"بله")+COUNTIF(J70:Q70,"خیر")),""))</f>
        <v/>
      </c>
      <c r="AB70" s="14" t="str">
        <f aca="false">IF(B70="","",IF(Z70="مطابق",0,IF(Z70="مطابق، دوز مازاد",N(X70)*N(W70),(N(R70)-N(T70))*N(W70))))</f>
        <v/>
      </c>
      <c r="AC70" s="12"/>
      <c r="AD70" s="12"/>
      <c r="AE70" s="10" t="str">
        <f aca="false">IF(B70="","",IF(AND(N(AC70)&gt;0,NOT(OR(Z70="مطابق",Z70="مطابق، دوز مازاد"))),"ریسک کسورات",IF(AND(OR(Z70="مطابق",Z70="مطابق، دوز مازاد"),N(AC70)=0,D70&lt;&gt;"آزاد",D70&lt;&gt;""),"بررسی امکان دریافت از بیمه","")))</f>
        <v/>
      </c>
      <c r="AF70" s="11"/>
    </row>
    <row r="71" customFormat="false" ht="15" hidden="false" customHeight="false" outlineLevel="0" collapsed="false">
      <c r="A71" s="10" t="str">
        <f aca="false">IF(B71="","",ROW()-2)</f>
        <v/>
      </c>
      <c r="B71" s="11"/>
      <c r="C71" s="11"/>
      <c r="D71" s="11"/>
      <c r="E71" s="11"/>
      <c r="F71" s="11"/>
      <c r="G71" s="11"/>
      <c r="H71" s="10" t="str">
        <f aca="false">IF(G71="","",IFERROR(INDEX('اندیکاسیون‌ها'!$C$3:$C$22,MATCH(G71,'اندیکاسیون‌ها'!$A$3:$A$22,0)),"کد نامعتبر"))</f>
        <v/>
      </c>
      <c r="I71" s="10" t="str">
        <f aca="false">IF(G71="","",IFERROR(INDEX('اندیکاسیون‌ها'!$B$3:$B$22,MATCH(G71,'اندیکاسیون‌ها'!$A$3:$A$22,0)),""))</f>
        <v/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0" t="str">
        <f aca="false">IF(G71="","",IFERROR(INDEX('اندیکاسیون‌ها'!$F$3:$F$22,MATCH(G71,'اندیکاسیون‌ها'!$A$3:$A$22,0)),""))</f>
        <v/>
      </c>
      <c r="V71" s="11"/>
      <c r="W71" s="12"/>
      <c r="X71" s="10" t="str">
        <f aca="false">IF(OR(B71="",IF(V71&lt;&gt;"",V71,U71)=""),"",MAX(0,N(R71)-N(T71)-IF(V71&lt;&gt;"",V71,U71)))</f>
        <v/>
      </c>
      <c r="Y71" s="10" t="str">
        <f aca="false">IF(B71="","",N(R71)-N(S71)-N(T71))</f>
        <v/>
      </c>
      <c r="Z71" s="10" t="str">
        <f aca="false">IF(B71="","",IF(OR(G71="",G71="U0"),"اندیکاسیون نامشخص",IF(I71="بدون اندیکاسیون","بدون اندیکاسیون",IF(AND(I71="خارج از جدول",P71&lt;&gt;"بله"),"خارج از جدول بدون تأیید",IF(L71&lt;&gt;"بله","معیار مستند نشده",IF(N(X71)&gt;0,"مطابق، دوز مازاد","مطابق"))))))</f>
        <v/>
      </c>
      <c r="AA71" s="13" t="str">
        <f aca="false">IF(B71="","",IFERROR(COUNTIF(J71:Q71,"بله")/(COUNTIF(J71:Q71,"بله")+COUNTIF(J71:Q71,"خیر")),""))</f>
        <v/>
      </c>
      <c r="AB71" s="14" t="str">
        <f aca="false">IF(B71="","",IF(Z71="مطابق",0,IF(Z71="مطابق، دوز مازاد",N(X71)*N(W71),(N(R71)-N(T71))*N(W71))))</f>
        <v/>
      </c>
      <c r="AC71" s="12"/>
      <c r="AD71" s="12"/>
      <c r="AE71" s="10" t="str">
        <f aca="false">IF(B71="","",IF(AND(N(AC71)&gt;0,NOT(OR(Z71="مطابق",Z71="مطابق، دوز مازاد"))),"ریسک کسورات",IF(AND(OR(Z71="مطابق",Z71="مطابق، دوز مازاد"),N(AC71)=0,D71&lt;&gt;"آزاد",D71&lt;&gt;""),"بررسی امکان دریافت از بیمه","")))</f>
        <v/>
      </c>
      <c r="AF71" s="11"/>
    </row>
    <row r="72" customFormat="false" ht="15" hidden="false" customHeight="false" outlineLevel="0" collapsed="false">
      <c r="A72" s="10" t="str">
        <f aca="false">IF(B72="","",ROW()-2)</f>
        <v/>
      </c>
      <c r="B72" s="11"/>
      <c r="C72" s="11"/>
      <c r="D72" s="11"/>
      <c r="E72" s="11"/>
      <c r="F72" s="11"/>
      <c r="G72" s="11"/>
      <c r="H72" s="10" t="str">
        <f aca="false">IF(G72="","",IFERROR(INDEX('اندیکاسیون‌ها'!$C$3:$C$22,MATCH(G72,'اندیکاسیون‌ها'!$A$3:$A$22,0)),"کد نامعتبر"))</f>
        <v/>
      </c>
      <c r="I72" s="10" t="str">
        <f aca="false">IF(G72="","",IFERROR(INDEX('اندیکاسیون‌ها'!$B$3:$B$22,MATCH(G72,'اندیکاسیون‌ها'!$A$3:$A$22,0)),""))</f>
        <v/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0" t="str">
        <f aca="false">IF(G72="","",IFERROR(INDEX('اندیکاسیون‌ها'!$F$3:$F$22,MATCH(G72,'اندیکاسیون‌ها'!$A$3:$A$22,0)),""))</f>
        <v/>
      </c>
      <c r="V72" s="11"/>
      <c r="W72" s="12"/>
      <c r="X72" s="10" t="str">
        <f aca="false">IF(OR(B72="",IF(V72&lt;&gt;"",V72,U72)=""),"",MAX(0,N(R72)-N(T72)-IF(V72&lt;&gt;"",V72,U72)))</f>
        <v/>
      </c>
      <c r="Y72" s="10" t="str">
        <f aca="false">IF(B72="","",N(R72)-N(S72)-N(T72))</f>
        <v/>
      </c>
      <c r="Z72" s="10" t="str">
        <f aca="false">IF(B72="","",IF(OR(G72="",G72="U0"),"اندیکاسیون نامشخص",IF(I72="بدون اندیکاسیون","بدون اندیکاسیون",IF(AND(I72="خارج از جدول",P72&lt;&gt;"بله"),"خارج از جدول بدون تأیید",IF(L72&lt;&gt;"بله","معیار مستند نشده",IF(N(X72)&gt;0,"مطابق، دوز مازاد","مطابق"))))))</f>
        <v/>
      </c>
      <c r="AA72" s="13" t="str">
        <f aca="false">IF(B72="","",IFERROR(COUNTIF(J72:Q72,"بله")/(COUNTIF(J72:Q72,"بله")+COUNTIF(J72:Q72,"خیر")),""))</f>
        <v/>
      </c>
      <c r="AB72" s="14" t="str">
        <f aca="false">IF(B72="","",IF(Z72="مطابق",0,IF(Z72="مطابق، دوز مازاد",N(X72)*N(W72),(N(R72)-N(T72))*N(W72))))</f>
        <v/>
      </c>
      <c r="AC72" s="12"/>
      <c r="AD72" s="12"/>
      <c r="AE72" s="10" t="str">
        <f aca="false">IF(B72="","",IF(AND(N(AC72)&gt;0,NOT(OR(Z72="مطابق",Z72="مطابق، دوز مازاد"))),"ریسک کسورات",IF(AND(OR(Z72="مطابق",Z72="مطابق، دوز مازاد"),N(AC72)=0,D72&lt;&gt;"آزاد",D72&lt;&gt;""),"بررسی امکان دریافت از بیمه","")))</f>
        <v/>
      </c>
      <c r="AF72" s="11"/>
    </row>
    <row r="73" customFormat="false" ht="15" hidden="false" customHeight="false" outlineLevel="0" collapsed="false">
      <c r="A73" s="10" t="str">
        <f aca="false">IF(B73="","",ROW()-2)</f>
        <v/>
      </c>
      <c r="B73" s="11"/>
      <c r="C73" s="11"/>
      <c r="D73" s="11"/>
      <c r="E73" s="11"/>
      <c r="F73" s="11"/>
      <c r="G73" s="11"/>
      <c r="H73" s="10" t="str">
        <f aca="false">IF(G73="","",IFERROR(INDEX('اندیکاسیون‌ها'!$C$3:$C$22,MATCH(G73,'اندیکاسیون‌ها'!$A$3:$A$22,0)),"کد نامعتبر"))</f>
        <v/>
      </c>
      <c r="I73" s="10" t="str">
        <f aca="false">IF(G73="","",IFERROR(INDEX('اندیکاسیون‌ها'!$B$3:$B$22,MATCH(G73,'اندیکاسیون‌ها'!$A$3:$A$22,0)),""))</f>
        <v/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0" t="str">
        <f aca="false">IF(G73="","",IFERROR(INDEX('اندیکاسیون‌ها'!$F$3:$F$22,MATCH(G73,'اندیکاسیون‌ها'!$A$3:$A$22,0)),""))</f>
        <v/>
      </c>
      <c r="V73" s="11"/>
      <c r="W73" s="12"/>
      <c r="X73" s="10" t="str">
        <f aca="false">IF(OR(B73="",IF(V73&lt;&gt;"",V73,U73)=""),"",MAX(0,N(R73)-N(T73)-IF(V73&lt;&gt;"",V73,U73)))</f>
        <v/>
      </c>
      <c r="Y73" s="10" t="str">
        <f aca="false">IF(B73="","",N(R73)-N(S73)-N(T73))</f>
        <v/>
      </c>
      <c r="Z73" s="10" t="str">
        <f aca="false">IF(B73="","",IF(OR(G73="",G73="U0"),"اندیکاسیون نامشخص",IF(I73="بدون اندیکاسیون","بدون اندیکاسیون",IF(AND(I73="خارج از جدول",P73&lt;&gt;"بله"),"خارج از جدول بدون تأیید",IF(L73&lt;&gt;"بله","معیار مستند نشده",IF(N(X73)&gt;0,"مطابق، دوز مازاد","مطابق"))))))</f>
        <v/>
      </c>
      <c r="AA73" s="13" t="str">
        <f aca="false">IF(B73="","",IFERROR(COUNTIF(J73:Q73,"بله")/(COUNTIF(J73:Q73,"بله")+COUNTIF(J73:Q73,"خیر")),""))</f>
        <v/>
      </c>
      <c r="AB73" s="14" t="str">
        <f aca="false">IF(B73="","",IF(Z73="مطابق",0,IF(Z73="مطابق، دوز مازاد",N(X73)*N(W73),(N(R73)-N(T73))*N(W73))))</f>
        <v/>
      </c>
      <c r="AC73" s="12"/>
      <c r="AD73" s="12"/>
      <c r="AE73" s="10" t="str">
        <f aca="false">IF(B73="","",IF(AND(N(AC73)&gt;0,NOT(OR(Z73="مطابق",Z73="مطابق، دوز مازاد"))),"ریسک کسورات",IF(AND(OR(Z73="مطابق",Z73="مطابق، دوز مازاد"),N(AC73)=0,D73&lt;&gt;"آزاد",D73&lt;&gt;""),"بررسی امکان دریافت از بیمه","")))</f>
        <v/>
      </c>
      <c r="AF73" s="11"/>
    </row>
    <row r="74" customFormat="false" ht="15" hidden="false" customHeight="false" outlineLevel="0" collapsed="false">
      <c r="A74" s="10" t="str">
        <f aca="false">IF(B74="","",ROW()-2)</f>
        <v/>
      </c>
      <c r="B74" s="11"/>
      <c r="C74" s="11"/>
      <c r="D74" s="11"/>
      <c r="E74" s="11"/>
      <c r="F74" s="11"/>
      <c r="G74" s="11"/>
      <c r="H74" s="10" t="str">
        <f aca="false">IF(G74="","",IFERROR(INDEX('اندیکاسیون‌ها'!$C$3:$C$22,MATCH(G74,'اندیکاسیون‌ها'!$A$3:$A$22,0)),"کد نامعتبر"))</f>
        <v/>
      </c>
      <c r="I74" s="10" t="str">
        <f aca="false">IF(G74="","",IFERROR(INDEX('اندیکاسیون‌ها'!$B$3:$B$22,MATCH(G74,'اندیکاسیون‌ها'!$A$3:$A$22,0)),""))</f>
        <v/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0" t="str">
        <f aca="false">IF(G74="","",IFERROR(INDEX('اندیکاسیون‌ها'!$F$3:$F$22,MATCH(G74,'اندیکاسیون‌ها'!$A$3:$A$22,0)),""))</f>
        <v/>
      </c>
      <c r="V74" s="11"/>
      <c r="W74" s="12"/>
      <c r="X74" s="10" t="str">
        <f aca="false">IF(OR(B74="",IF(V74&lt;&gt;"",V74,U74)=""),"",MAX(0,N(R74)-N(T74)-IF(V74&lt;&gt;"",V74,U74)))</f>
        <v/>
      </c>
      <c r="Y74" s="10" t="str">
        <f aca="false">IF(B74="","",N(R74)-N(S74)-N(T74))</f>
        <v/>
      </c>
      <c r="Z74" s="10" t="str">
        <f aca="false">IF(B74="","",IF(OR(G74="",G74="U0"),"اندیکاسیون نامشخص",IF(I74="بدون اندیکاسیون","بدون اندیکاسیون",IF(AND(I74="خارج از جدول",P74&lt;&gt;"بله"),"خارج از جدول بدون تأیید",IF(L74&lt;&gt;"بله","معیار مستند نشده",IF(N(X74)&gt;0,"مطابق، دوز مازاد","مطابق"))))))</f>
        <v/>
      </c>
      <c r="AA74" s="13" t="str">
        <f aca="false">IF(B74="","",IFERROR(COUNTIF(J74:Q74,"بله")/(COUNTIF(J74:Q74,"بله")+COUNTIF(J74:Q74,"خیر")),""))</f>
        <v/>
      </c>
      <c r="AB74" s="14" t="str">
        <f aca="false">IF(B74="","",IF(Z74="مطابق",0,IF(Z74="مطابق، دوز مازاد",N(X74)*N(W74),(N(R74)-N(T74))*N(W74))))</f>
        <v/>
      </c>
      <c r="AC74" s="12"/>
      <c r="AD74" s="12"/>
      <c r="AE74" s="10" t="str">
        <f aca="false">IF(B74="","",IF(AND(N(AC74)&gt;0,NOT(OR(Z74="مطابق",Z74="مطابق، دوز مازاد"))),"ریسک کسورات",IF(AND(OR(Z74="مطابق",Z74="مطابق، دوز مازاد"),N(AC74)=0,D74&lt;&gt;"آزاد",D74&lt;&gt;""),"بررسی امکان دریافت از بیمه","")))</f>
        <v/>
      </c>
      <c r="AF74" s="11"/>
    </row>
    <row r="75" customFormat="false" ht="15" hidden="false" customHeight="false" outlineLevel="0" collapsed="false">
      <c r="A75" s="10" t="str">
        <f aca="false">IF(B75="","",ROW()-2)</f>
        <v/>
      </c>
      <c r="B75" s="11"/>
      <c r="C75" s="11"/>
      <c r="D75" s="11"/>
      <c r="E75" s="11"/>
      <c r="F75" s="11"/>
      <c r="G75" s="11"/>
      <c r="H75" s="10" t="str">
        <f aca="false">IF(G75="","",IFERROR(INDEX('اندیکاسیون‌ها'!$C$3:$C$22,MATCH(G75,'اندیکاسیون‌ها'!$A$3:$A$22,0)),"کد نامعتبر"))</f>
        <v/>
      </c>
      <c r="I75" s="10" t="str">
        <f aca="false">IF(G75="","",IFERROR(INDEX('اندیکاسیون‌ها'!$B$3:$B$22,MATCH(G75,'اندیکاسیون‌ها'!$A$3:$A$22,0)),""))</f>
        <v/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0" t="str">
        <f aca="false">IF(G75="","",IFERROR(INDEX('اندیکاسیون‌ها'!$F$3:$F$22,MATCH(G75,'اندیکاسیون‌ها'!$A$3:$A$22,0)),""))</f>
        <v/>
      </c>
      <c r="V75" s="11"/>
      <c r="W75" s="12"/>
      <c r="X75" s="10" t="str">
        <f aca="false">IF(OR(B75="",IF(V75&lt;&gt;"",V75,U75)=""),"",MAX(0,N(R75)-N(T75)-IF(V75&lt;&gt;"",V75,U75)))</f>
        <v/>
      </c>
      <c r="Y75" s="10" t="str">
        <f aca="false">IF(B75="","",N(R75)-N(S75)-N(T75))</f>
        <v/>
      </c>
      <c r="Z75" s="10" t="str">
        <f aca="false">IF(B75="","",IF(OR(G75="",G75="U0"),"اندیکاسیون نامشخص",IF(I75="بدون اندیکاسیون","بدون اندیکاسیون",IF(AND(I75="خارج از جدول",P75&lt;&gt;"بله"),"خارج از جدول بدون تأیید",IF(L75&lt;&gt;"بله","معیار مستند نشده",IF(N(X75)&gt;0,"مطابق، دوز مازاد","مطابق"))))))</f>
        <v/>
      </c>
      <c r="AA75" s="13" t="str">
        <f aca="false">IF(B75="","",IFERROR(COUNTIF(J75:Q75,"بله")/(COUNTIF(J75:Q75,"بله")+COUNTIF(J75:Q75,"خیر")),""))</f>
        <v/>
      </c>
      <c r="AB75" s="14" t="str">
        <f aca="false">IF(B75="","",IF(Z75="مطابق",0,IF(Z75="مطابق، دوز مازاد",N(X75)*N(W75),(N(R75)-N(T75))*N(W75))))</f>
        <v/>
      </c>
      <c r="AC75" s="12"/>
      <c r="AD75" s="12"/>
      <c r="AE75" s="10" t="str">
        <f aca="false">IF(B75="","",IF(AND(N(AC75)&gt;0,NOT(OR(Z75="مطابق",Z75="مطابق، دوز مازاد"))),"ریسک کسورات",IF(AND(OR(Z75="مطابق",Z75="مطابق، دوز مازاد"),N(AC75)=0,D75&lt;&gt;"آزاد",D75&lt;&gt;""),"بررسی امکان دریافت از بیمه","")))</f>
        <v/>
      </c>
      <c r="AF75" s="11"/>
    </row>
    <row r="76" customFormat="false" ht="15" hidden="false" customHeight="false" outlineLevel="0" collapsed="false">
      <c r="A76" s="10" t="str">
        <f aca="false">IF(B76="","",ROW()-2)</f>
        <v/>
      </c>
      <c r="B76" s="11"/>
      <c r="C76" s="11"/>
      <c r="D76" s="11"/>
      <c r="E76" s="11"/>
      <c r="F76" s="11"/>
      <c r="G76" s="11"/>
      <c r="H76" s="10" t="str">
        <f aca="false">IF(G76="","",IFERROR(INDEX('اندیکاسیون‌ها'!$C$3:$C$22,MATCH(G76,'اندیکاسیون‌ها'!$A$3:$A$22,0)),"کد نامعتبر"))</f>
        <v/>
      </c>
      <c r="I76" s="10" t="str">
        <f aca="false">IF(G76="","",IFERROR(INDEX('اندیکاسیون‌ها'!$B$3:$B$22,MATCH(G76,'اندیکاسیون‌ها'!$A$3:$A$22,0)),""))</f>
        <v/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0" t="str">
        <f aca="false">IF(G76="","",IFERROR(INDEX('اندیکاسیون‌ها'!$F$3:$F$22,MATCH(G76,'اندیکاسیون‌ها'!$A$3:$A$22,0)),""))</f>
        <v/>
      </c>
      <c r="V76" s="11"/>
      <c r="W76" s="12"/>
      <c r="X76" s="10" t="str">
        <f aca="false">IF(OR(B76="",IF(V76&lt;&gt;"",V76,U76)=""),"",MAX(0,N(R76)-N(T76)-IF(V76&lt;&gt;"",V76,U76)))</f>
        <v/>
      </c>
      <c r="Y76" s="10" t="str">
        <f aca="false">IF(B76="","",N(R76)-N(S76)-N(T76))</f>
        <v/>
      </c>
      <c r="Z76" s="10" t="str">
        <f aca="false">IF(B76="","",IF(OR(G76="",G76="U0"),"اندیکاسیون نامشخص",IF(I76="بدون اندیکاسیون","بدون اندیکاسیون",IF(AND(I76="خارج از جدول",P76&lt;&gt;"بله"),"خارج از جدول بدون تأیید",IF(L76&lt;&gt;"بله","معیار مستند نشده",IF(N(X76)&gt;0,"مطابق، دوز مازاد","مطابق"))))))</f>
        <v/>
      </c>
      <c r="AA76" s="13" t="str">
        <f aca="false">IF(B76="","",IFERROR(COUNTIF(J76:Q76,"بله")/(COUNTIF(J76:Q76,"بله")+COUNTIF(J76:Q76,"خیر")),""))</f>
        <v/>
      </c>
      <c r="AB76" s="14" t="str">
        <f aca="false">IF(B76="","",IF(Z76="مطابق",0,IF(Z76="مطابق، دوز مازاد",N(X76)*N(W76),(N(R76)-N(T76))*N(W76))))</f>
        <v/>
      </c>
      <c r="AC76" s="12"/>
      <c r="AD76" s="12"/>
      <c r="AE76" s="10" t="str">
        <f aca="false">IF(B76="","",IF(AND(N(AC76)&gt;0,NOT(OR(Z76="مطابق",Z76="مطابق، دوز مازاد"))),"ریسک کسورات",IF(AND(OR(Z76="مطابق",Z76="مطابق، دوز مازاد"),N(AC76)=0,D76&lt;&gt;"آزاد",D76&lt;&gt;""),"بررسی امکان دریافت از بیمه","")))</f>
        <v/>
      </c>
      <c r="AF76" s="11"/>
    </row>
    <row r="77" customFormat="false" ht="15" hidden="false" customHeight="false" outlineLevel="0" collapsed="false">
      <c r="A77" s="10" t="str">
        <f aca="false">IF(B77="","",ROW()-2)</f>
        <v/>
      </c>
      <c r="B77" s="11"/>
      <c r="C77" s="11"/>
      <c r="D77" s="11"/>
      <c r="E77" s="11"/>
      <c r="F77" s="11"/>
      <c r="G77" s="11"/>
      <c r="H77" s="10" t="str">
        <f aca="false">IF(G77="","",IFERROR(INDEX('اندیکاسیون‌ها'!$C$3:$C$22,MATCH(G77,'اندیکاسیون‌ها'!$A$3:$A$22,0)),"کد نامعتبر"))</f>
        <v/>
      </c>
      <c r="I77" s="10" t="str">
        <f aca="false">IF(G77="","",IFERROR(INDEX('اندیکاسیون‌ها'!$B$3:$B$22,MATCH(G77,'اندیکاسیون‌ها'!$A$3:$A$22,0)),""))</f>
        <v/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0" t="str">
        <f aca="false">IF(G77="","",IFERROR(INDEX('اندیکاسیون‌ها'!$F$3:$F$22,MATCH(G77,'اندیکاسیون‌ها'!$A$3:$A$22,0)),""))</f>
        <v/>
      </c>
      <c r="V77" s="11"/>
      <c r="W77" s="12"/>
      <c r="X77" s="10" t="str">
        <f aca="false">IF(OR(B77="",IF(V77&lt;&gt;"",V77,U77)=""),"",MAX(0,N(R77)-N(T77)-IF(V77&lt;&gt;"",V77,U77)))</f>
        <v/>
      </c>
      <c r="Y77" s="10" t="str">
        <f aca="false">IF(B77="","",N(R77)-N(S77)-N(T77))</f>
        <v/>
      </c>
      <c r="Z77" s="10" t="str">
        <f aca="false">IF(B77="","",IF(OR(G77="",G77="U0"),"اندیکاسیون نامشخص",IF(I77="بدون اندیکاسیون","بدون اندیکاسیون",IF(AND(I77="خارج از جدول",P77&lt;&gt;"بله"),"خارج از جدول بدون تأیید",IF(L77&lt;&gt;"بله","معیار مستند نشده",IF(N(X77)&gt;0,"مطابق، دوز مازاد","مطابق"))))))</f>
        <v/>
      </c>
      <c r="AA77" s="13" t="str">
        <f aca="false">IF(B77="","",IFERROR(COUNTIF(J77:Q77,"بله")/(COUNTIF(J77:Q77,"بله")+COUNTIF(J77:Q77,"خیر")),""))</f>
        <v/>
      </c>
      <c r="AB77" s="14" t="str">
        <f aca="false">IF(B77="","",IF(Z77="مطابق",0,IF(Z77="مطابق، دوز مازاد",N(X77)*N(W77),(N(R77)-N(T77))*N(W77))))</f>
        <v/>
      </c>
      <c r="AC77" s="12"/>
      <c r="AD77" s="12"/>
      <c r="AE77" s="10" t="str">
        <f aca="false">IF(B77="","",IF(AND(N(AC77)&gt;0,NOT(OR(Z77="مطابق",Z77="مطابق، دوز مازاد"))),"ریسک کسورات",IF(AND(OR(Z77="مطابق",Z77="مطابق، دوز مازاد"),N(AC77)=0,D77&lt;&gt;"آزاد",D77&lt;&gt;""),"بررسی امکان دریافت از بیمه","")))</f>
        <v/>
      </c>
      <c r="AF77" s="11"/>
    </row>
    <row r="78" customFormat="false" ht="15" hidden="false" customHeight="false" outlineLevel="0" collapsed="false">
      <c r="A78" s="10" t="str">
        <f aca="false">IF(B78="","",ROW()-2)</f>
        <v/>
      </c>
      <c r="B78" s="11"/>
      <c r="C78" s="11"/>
      <c r="D78" s="11"/>
      <c r="E78" s="11"/>
      <c r="F78" s="11"/>
      <c r="G78" s="11"/>
      <c r="H78" s="10" t="str">
        <f aca="false">IF(G78="","",IFERROR(INDEX('اندیکاسیون‌ها'!$C$3:$C$22,MATCH(G78,'اندیکاسیون‌ها'!$A$3:$A$22,0)),"کد نامعتبر"))</f>
        <v/>
      </c>
      <c r="I78" s="10" t="str">
        <f aca="false">IF(G78="","",IFERROR(INDEX('اندیکاسیون‌ها'!$B$3:$B$22,MATCH(G78,'اندیکاسیون‌ها'!$A$3:$A$22,0)),""))</f>
        <v/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0" t="str">
        <f aca="false">IF(G78="","",IFERROR(INDEX('اندیکاسیون‌ها'!$F$3:$F$22,MATCH(G78,'اندیکاسیون‌ها'!$A$3:$A$22,0)),""))</f>
        <v/>
      </c>
      <c r="V78" s="11"/>
      <c r="W78" s="12"/>
      <c r="X78" s="10" t="str">
        <f aca="false">IF(OR(B78="",IF(V78&lt;&gt;"",V78,U78)=""),"",MAX(0,N(R78)-N(T78)-IF(V78&lt;&gt;"",V78,U78)))</f>
        <v/>
      </c>
      <c r="Y78" s="10" t="str">
        <f aca="false">IF(B78="","",N(R78)-N(S78)-N(T78))</f>
        <v/>
      </c>
      <c r="Z78" s="10" t="str">
        <f aca="false">IF(B78="","",IF(OR(G78="",G78="U0"),"اندیکاسیون نامشخص",IF(I78="بدون اندیکاسیون","بدون اندیکاسیون",IF(AND(I78="خارج از جدول",P78&lt;&gt;"بله"),"خارج از جدول بدون تأیید",IF(L78&lt;&gt;"بله","معیار مستند نشده",IF(N(X78)&gt;0,"مطابق، دوز مازاد","مطابق"))))))</f>
        <v/>
      </c>
      <c r="AA78" s="13" t="str">
        <f aca="false">IF(B78="","",IFERROR(COUNTIF(J78:Q78,"بله")/(COUNTIF(J78:Q78,"بله")+COUNTIF(J78:Q78,"خیر")),""))</f>
        <v/>
      </c>
      <c r="AB78" s="14" t="str">
        <f aca="false">IF(B78="","",IF(Z78="مطابق",0,IF(Z78="مطابق، دوز مازاد",N(X78)*N(W78),(N(R78)-N(T78))*N(W78))))</f>
        <v/>
      </c>
      <c r="AC78" s="12"/>
      <c r="AD78" s="12"/>
      <c r="AE78" s="10" t="str">
        <f aca="false">IF(B78="","",IF(AND(N(AC78)&gt;0,NOT(OR(Z78="مطابق",Z78="مطابق، دوز مازاد"))),"ریسک کسورات",IF(AND(OR(Z78="مطابق",Z78="مطابق، دوز مازاد"),N(AC78)=0,D78&lt;&gt;"آزاد",D78&lt;&gt;""),"بررسی امکان دریافت از بیمه","")))</f>
        <v/>
      </c>
      <c r="AF78" s="11"/>
    </row>
    <row r="79" customFormat="false" ht="15" hidden="false" customHeight="false" outlineLevel="0" collapsed="false">
      <c r="A79" s="10" t="str">
        <f aca="false">IF(B79="","",ROW()-2)</f>
        <v/>
      </c>
      <c r="B79" s="11"/>
      <c r="C79" s="11"/>
      <c r="D79" s="11"/>
      <c r="E79" s="11"/>
      <c r="F79" s="11"/>
      <c r="G79" s="11"/>
      <c r="H79" s="10" t="str">
        <f aca="false">IF(G79="","",IFERROR(INDEX('اندیکاسیون‌ها'!$C$3:$C$22,MATCH(G79,'اندیکاسیون‌ها'!$A$3:$A$22,0)),"کد نامعتبر"))</f>
        <v/>
      </c>
      <c r="I79" s="10" t="str">
        <f aca="false">IF(G79="","",IFERROR(INDEX('اندیکاسیون‌ها'!$B$3:$B$22,MATCH(G79,'اندیکاسیون‌ها'!$A$3:$A$22,0)),""))</f>
        <v/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0" t="str">
        <f aca="false">IF(G79="","",IFERROR(INDEX('اندیکاسیون‌ها'!$F$3:$F$22,MATCH(G79,'اندیکاسیون‌ها'!$A$3:$A$22,0)),""))</f>
        <v/>
      </c>
      <c r="V79" s="11"/>
      <c r="W79" s="12"/>
      <c r="X79" s="10" t="str">
        <f aca="false">IF(OR(B79="",IF(V79&lt;&gt;"",V79,U79)=""),"",MAX(0,N(R79)-N(T79)-IF(V79&lt;&gt;"",V79,U79)))</f>
        <v/>
      </c>
      <c r="Y79" s="10" t="str">
        <f aca="false">IF(B79="","",N(R79)-N(S79)-N(T79))</f>
        <v/>
      </c>
      <c r="Z79" s="10" t="str">
        <f aca="false">IF(B79="","",IF(OR(G79="",G79="U0"),"اندیکاسیون نامشخص",IF(I79="بدون اندیکاسیون","بدون اندیکاسیون",IF(AND(I79="خارج از جدول",P79&lt;&gt;"بله"),"خارج از جدول بدون تأیید",IF(L79&lt;&gt;"بله","معیار مستند نشده",IF(N(X79)&gt;0,"مطابق، دوز مازاد","مطابق"))))))</f>
        <v/>
      </c>
      <c r="AA79" s="13" t="str">
        <f aca="false">IF(B79="","",IFERROR(COUNTIF(J79:Q79,"بله")/(COUNTIF(J79:Q79,"بله")+COUNTIF(J79:Q79,"خیر")),""))</f>
        <v/>
      </c>
      <c r="AB79" s="14" t="str">
        <f aca="false">IF(B79="","",IF(Z79="مطابق",0,IF(Z79="مطابق، دوز مازاد",N(X79)*N(W79),(N(R79)-N(T79))*N(W79))))</f>
        <v/>
      </c>
      <c r="AC79" s="12"/>
      <c r="AD79" s="12"/>
      <c r="AE79" s="10" t="str">
        <f aca="false">IF(B79="","",IF(AND(N(AC79)&gt;0,NOT(OR(Z79="مطابق",Z79="مطابق، دوز مازاد"))),"ریسک کسورات",IF(AND(OR(Z79="مطابق",Z79="مطابق، دوز مازاد"),N(AC79)=0,D79&lt;&gt;"آزاد",D79&lt;&gt;""),"بررسی امکان دریافت از بیمه","")))</f>
        <v/>
      </c>
      <c r="AF79" s="11"/>
    </row>
    <row r="80" customFormat="false" ht="15" hidden="false" customHeight="false" outlineLevel="0" collapsed="false">
      <c r="A80" s="10" t="str">
        <f aca="false">IF(B80="","",ROW()-2)</f>
        <v/>
      </c>
      <c r="B80" s="11"/>
      <c r="C80" s="11"/>
      <c r="D80" s="11"/>
      <c r="E80" s="11"/>
      <c r="F80" s="11"/>
      <c r="G80" s="11"/>
      <c r="H80" s="10" t="str">
        <f aca="false">IF(G80="","",IFERROR(INDEX('اندیکاسیون‌ها'!$C$3:$C$22,MATCH(G80,'اندیکاسیون‌ها'!$A$3:$A$22,0)),"کد نامعتبر"))</f>
        <v/>
      </c>
      <c r="I80" s="10" t="str">
        <f aca="false">IF(G80="","",IFERROR(INDEX('اندیکاسیون‌ها'!$B$3:$B$22,MATCH(G80,'اندیکاسیون‌ها'!$A$3:$A$22,0)),""))</f>
        <v/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0" t="str">
        <f aca="false">IF(G80="","",IFERROR(INDEX('اندیکاسیون‌ها'!$F$3:$F$22,MATCH(G80,'اندیکاسیون‌ها'!$A$3:$A$22,0)),""))</f>
        <v/>
      </c>
      <c r="V80" s="11"/>
      <c r="W80" s="12"/>
      <c r="X80" s="10" t="str">
        <f aca="false">IF(OR(B80="",IF(V80&lt;&gt;"",V80,U80)=""),"",MAX(0,N(R80)-N(T80)-IF(V80&lt;&gt;"",V80,U80)))</f>
        <v/>
      </c>
      <c r="Y80" s="10" t="str">
        <f aca="false">IF(B80="","",N(R80)-N(S80)-N(T80))</f>
        <v/>
      </c>
      <c r="Z80" s="10" t="str">
        <f aca="false">IF(B80="","",IF(OR(G80="",G80="U0"),"اندیکاسیون نامشخص",IF(I80="بدون اندیکاسیون","بدون اندیکاسیون",IF(AND(I80="خارج از جدول",P80&lt;&gt;"بله"),"خارج از جدول بدون تأیید",IF(L80&lt;&gt;"بله","معیار مستند نشده",IF(N(X80)&gt;0,"مطابق، دوز مازاد","مطابق"))))))</f>
        <v/>
      </c>
      <c r="AA80" s="13" t="str">
        <f aca="false">IF(B80="","",IFERROR(COUNTIF(J80:Q80,"بله")/(COUNTIF(J80:Q80,"بله")+COUNTIF(J80:Q80,"خیر")),""))</f>
        <v/>
      </c>
      <c r="AB80" s="14" t="str">
        <f aca="false">IF(B80="","",IF(Z80="مطابق",0,IF(Z80="مطابق، دوز مازاد",N(X80)*N(W80),(N(R80)-N(T80))*N(W80))))</f>
        <v/>
      </c>
      <c r="AC80" s="12"/>
      <c r="AD80" s="12"/>
      <c r="AE80" s="10" t="str">
        <f aca="false">IF(B80="","",IF(AND(N(AC80)&gt;0,NOT(OR(Z80="مطابق",Z80="مطابق، دوز مازاد"))),"ریسک کسورات",IF(AND(OR(Z80="مطابق",Z80="مطابق، دوز مازاد"),N(AC80)=0,D80&lt;&gt;"آزاد",D80&lt;&gt;""),"بررسی امکان دریافت از بیمه","")))</f>
        <v/>
      </c>
      <c r="AF80" s="11"/>
    </row>
    <row r="81" customFormat="false" ht="15" hidden="false" customHeight="false" outlineLevel="0" collapsed="false">
      <c r="A81" s="10" t="str">
        <f aca="false">IF(B81="","",ROW()-2)</f>
        <v/>
      </c>
      <c r="B81" s="11"/>
      <c r="C81" s="11"/>
      <c r="D81" s="11"/>
      <c r="E81" s="11"/>
      <c r="F81" s="11"/>
      <c r="G81" s="11"/>
      <c r="H81" s="10" t="str">
        <f aca="false">IF(G81="","",IFERROR(INDEX('اندیکاسیون‌ها'!$C$3:$C$22,MATCH(G81,'اندیکاسیون‌ها'!$A$3:$A$22,0)),"کد نامعتبر"))</f>
        <v/>
      </c>
      <c r="I81" s="10" t="str">
        <f aca="false">IF(G81="","",IFERROR(INDEX('اندیکاسیون‌ها'!$B$3:$B$22,MATCH(G81,'اندیکاسیون‌ها'!$A$3:$A$22,0)),""))</f>
        <v/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0" t="str">
        <f aca="false">IF(G81="","",IFERROR(INDEX('اندیکاسیون‌ها'!$F$3:$F$22,MATCH(G81,'اندیکاسیون‌ها'!$A$3:$A$22,0)),""))</f>
        <v/>
      </c>
      <c r="V81" s="11"/>
      <c r="W81" s="12"/>
      <c r="X81" s="10" t="str">
        <f aca="false">IF(OR(B81="",IF(V81&lt;&gt;"",V81,U81)=""),"",MAX(0,N(R81)-N(T81)-IF(V81&lt;&gt;"",V81,U81)))</f>
        <v/>
      </c>
      <c r="Y81" s="10" t="str">
        <f aca="false">IF(B81="","",N(R81)-N(S81)-N(T81))</f>
        <v/>
      </c>
      <c r="Z81" s="10" t="str">
        <f aca="false">IF(B81="","",IF(OR(G81="",G81="U0"),"اندیکاسیون نامشخص",IF(I81="بدون اندیکاسیون","بدون اندیکاسیون",IF(AND(I81="خارج از جدول",P81&lt;&gt;"بله"),"خارج از جدول بدون تأیید",IF(L81&lt;&gt;"بله","معیار مستند نشده",IF(N(X81)&gt;0,"مطابق، دوز مازاد","مطابق"))))))</f>
        <v/>
      </c>
      <c r="AA81" s="13" t="str">
        <f aca="false">IF(B81="","",IFERROR(COUNTIF(J81:Q81,"بله")/(COUNTIF(J81:Q81,"بله")+COUNTIF(J81:Q81,"خیر")),""))</f>
        <v/>
      </c>
      <c r="AB81" s="14" t="str">
        <f aca="false">IF(B81="","",IF(Z81="مطابق",0,IF(Z81="مطابق، دوز مازاد",N(X81)*N(W81),(N(R81)-N(T81))*N(W81))))</f>
        <v/>
      </c>
      <c r="AC81" s="12"/>
      <c r="AD81" s="12"/>
      <c r="AE81" s="10" t="str">
        <f aca="false">IF(B81="","",IF(AND(N(AC81)&gt;0,NOT(OR(Z81="مطابق",Z81="مطابق، دوز مازاد"))),"ریسک کسورات",IF(AND(OR(Z81="مطابق",Z81="مطابق، دوز مازاد"),N(AC81)=0,D81&lt;&gt;"آزاد",D81&lt;&gt;""),"بررسی امکان دریافت از بیمه","")))</f>
        <v/>
      </c>
      <c r="AF81" s="11"/>
    </row>
    <row r="82" customFormat="false" ht="15" hidden="false" customHeight="false" outlineLevel="0" collapsed="false">
      <c r="A82" s="10" t="str">
        <f aca="false">IF(B82="","",ROW()-2)</f>
        <v/>
      </c>
      <c r="B82" s="11"/>
      <c r="C82" s="11"/>
      <c r="D82" s="11"/>
      <c r="E82" s="11"/>
      <c r="F82" s="11"/>
      <c r="G82" s="11"/>
      <c r="H82" s="10" t="str">
        <f aca="false">IF(G82="","",IFERROR(INDEX('اندیکاسیون‌ها'!$C$3:$C$22,MATCH(G82,'اندیکاسیون‌ها'!$A$3:$A$22,0)),"کد نامعتبر"))</f>
        <v/>
      </c>
      <c r="I82" s="10" t="str">
        <f aca="false">IF(G82="","",IFERROR(INDEX('اندیکاسیون‌ها'!$B$3:$B$22,MATCH(G82,'اندیکاسیون‌ها'!$A$3:$A$22,0)),""))</f>
        <v/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0" t="str">
        <f aca="false">IF(G82="","",IFERROR(INDEX('اندیکاسیون‌ها'!$F$3:$F$22,MATCH(G82,'اندیکاسیون‌ها'!$A$3:$A$22,0)),""))</f>
        <v/>
      </c>
      <c r="V82" s="11"/>
      <c r="W82" s="12"/>
      <c r="X82" s="10" t="str">
        <f aca="false">IF(OR(B82="",IF(V82&lt;&gt;"",V82,U82)=""),"",MAX(0,N(R82)-N(T82)-IF(V82&lt;&gt;"",V82,U82)))</f>
        <v/>
      </c>
      <c r="Y82" s="10" t="str">
        <f aca="false">IF(B82="","",N(R82)-N(S82)-N(T82))</f>
        <v/>
      </c>
      <c r="Z82" s="10" t="str">
        <f aca="false">IF(B82="","",IF(OR(G82="",G82="U0"),"اندیکاسیون نامشخص",IF(I82="بدون اندیکاسیون","بدون اندیکاسیون",IF(AND(I82="خارج از جدول",P82&lt;&gt;"بله"),"خارج از جدول بدون تأیید",IF(L82&lt;&gt;"بله","معیار مستند نشده",IF(N(X82)&gt;0,"مطابق، دوز مازاد","مطابق"))))))</f>
        <v/>
      </c>
      <c r="AA82" s="13" t="str">
        <f aca="false">IF(B82="","",IFERROR(COUNTIF(J82:Q82,"بله")/(COUNTIF(J82:Q82,"بله")+COUNTIF(J82:Q82,"خیر")),""))</f>
        <v/>
      </c>
      <c r="AB82" s="14" t="str">
        <f aca="false">IF(B82="","",IF(Z82="مطابق",0,IF(Z82="مطابق، دوز مازاد",N(X82)*N(W82),(N(R82)-N(T82))*N(W82))))</f>
        <v/>
      </c>
      <c r="AC82" s="12"/>
      <c r="AD82" s="12"/>
      <c r="AE82" s="10" t="str">
        <f aca="false">IF(B82="","",IF(AND(N(AC82)&gt;0,NOT(OR(Z82="مطابق",Z82="مطابق، دوز مازاد"))),"ریسک کسورات",IF(AND(OR(Z82="مطابق",Z82="مطابق، دوز مازاد"),N(AC82)=0,D82&lt;&gt;"آزاد",D82&lt;&gt;""),"بررسی امکان دریافت از بیمه","")))</f>
        <v/>
      </c>
      <c r="AF82" s="11"/>
    </row>
    <row r="83" customFormat="false" ht="15" hidden="false" customHeight="false" outlineLevel="0" collapsed="false">
      <c r="A83" s="10" t="str">
        <f aca="false">IF(B83="","",ROW()-2)</f>
        <v/>
      </c>
      <c r="B83" s="11"/>
      <c r="C83" s="11"/>
      <c r="D83" s="11"/>
      <c r="E83" s="11"/>
      <c r="F83" s="11"/>
      <c r="G83" s="11"/>
      <c r="H83" s="10" t="str">
        <f aca="false">IF(G83="","",IFERROR(INDEX('اندیکاسیون‌ها'!$C$3:$C$22,MATCH(G83,'اندیکاسیون‌ها'!$A$3:$A$22,0)),"کد نامعتبر"))</f>
        <v/>
      </c>
      <c r="I83" s="10" t="str">
        <f aca="false">IF(G83="","",IFERROR(INDEX('اندیکاسیون‌ها'!$B$3:$B$22,MATCH(G83,'اندیکاسیون‌ها'!$A$3:$A$22,0)),""))</f>
        <v/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0" t="str">
        <f aca="false">IF(G83="","",IFERROR(INDEX('اندیکاسیون‌ها'!$F$3:$F$22,MATCH(G83,'اندیکاسیون‌ها'!$A$3:$A$22,0)),""))</f>
        <v/>
      </c>
      <c r="V83" s="11"/>
      <c r="W83" s="12"/>
      <c r="X83" s="10" t="str">
        <f aca="false">IF(OR(B83="",IF(V83&lt;&gt;"",V83,U83)=""),"",MAX(0,N(R83)-N(T83)-IF(V83&lt;&gt;"",V83,U83)))</f>
        <v/>
      </c>
      <c r="Y83" s="10" t="str">
        <f aca="false">IF(B83="","",N(R83)-N(S83)-N(T83))</f>
        <v/>
      </c>
      <c r="Z83" s="10" t="str">
        <f aca="false">IF(B83="","",IF(OR(G83="",G83="U0"),"اندیکاسیون نامشخص",IF(I83="بدون اندیکاسیون","بدون اندیکاسیون",IF(AND(I83="خارج از جدول",P83&lt;&gt;"بله"),"خارج از جدول بدون تأیید",IF(L83&lt;&gt;"بله","معیار مستند نشده",IF(N(X83)&gt;0,"مطابق، دوز مازاد","مطابق"))))))</f>
        <v/>
      </c>
      <c r="AA83" s="13" t="str">
        <f aca="false">IF(B83="","",IFERROR(COUNTIF(J83:Q83,"بله")/(COUNTIF(J83:Q83,"بله")+COUNTIF(J83:Q83,"خیر")),""))</f>
        <v/>
      </c>
      <c r="AB83" s="14" t="str">
        <f aca="false">IF(B83="","",IF(Z83="مطابق",0,IF(Z83="مطابق، دوز مازاد",N(X83)*N(W83),(N(R83)-N(T83))*N(W83))))</f>
        <v/>
      </c>
      <c r="AC83" s="12"/>
      <c r="AD83" s="12"/>
      <c r="AE83" s="10" t="str">
        <f aca="false">IF(B83="","",IF(AND(N(AC83)&gt;0,NOT(OR(Z83="مطابق",Z83="مطابق، دوز مازاد"))),"ریسک کسورات",IF(AND(OR(Z83="مطابق",Z83="مطابق، دوز مازاد"),N(AC83)=0,D83&lt;&gt;"آزاد",D83&lt;&gt;""),"بررسی امکان دریافت از بیمه","")))</f>
        <v/>
      </c>
      <c r="AF83" s="11"/>
    </row>
    <row r="84" customFormat="false" ht="15" hidden="false" customHeight="false" outlineLevel="0" collapsed="false">
      <c r="A84" s="10" t="str">
        <f aca="false">IF(B84="","",ROW()-2)</f>
        <v/>
      </c>
      <c r="B84" s="11"/>
      <c r="C84" s="11"/>
      <c r="D84" s="11"/>
      <c r="E84" s="11"/>
      <c r="F84" s="11"/>
      <c r="G84" s="11"/>
      <c r="H84" s="10" t="str">
        <f aca="false">IF(G84="","",IFERROR(INDEX('اندیکاسیون‌ها'!$C$3:$C$22,MATCH(G84,'اندیکاسیون‌ها'!$A$3:$A$22,0)),"کد نامعتبر"))</f>
        <v/>
      </c>
      <c r="I84" s="10" t="str">
        <f aca="false">IF(G84="","",IFERROR(INDEX('اندیکاسیون‌ها'!$B$3:$B$22,MATCH(G84,'اندیکاسیون‌ها'!$A$3:$A$22,0)),""))</f>
        <v/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0" t="str">
        <f aca="false">IF(G84="","",IFERROR(INDEX('اندیکاسیون‌ها'!$F$3:$F$22,MATCH(G84,'اندیکاسیون‌ها'!$A$3:$A$22,0)),""))</f>
        <v/>
      </c>
      <c r="V84" s="11"/>
      <c r="W84" s="12"/>
      <c r="X84" s="10" t="str">
        <f aca="false">IF(OR(B84="",IF(V84&lt;&gt;"",V84,U84)=""),"",MAX(0,N(R84)-N(T84)-IF(V84&lt;&gt;"",V84,U84)))</f>
        <v/>
      </c>
      <c r="Y84" s="10" t="str">
        <f aca="false">IF(B84="","",N(R84)-N(S84)-N(T84))</f>
        <v/>
      </c>
      <c r="Z84" s="10" t="str">
        <f aca="false">IF(B84="","",IF(OR(G84="",G84="U0"),"اندیکاسیون نامشخص",IF(I84="بدون اندیکاسیون","بدون اندیکاسیون",IF(AND(I84="خارج از جدول",P84&lt;&gt;"بله"),"خارج از جدول بدون تأیید",IF(L84&lt;&gt;"بله","معیار مستند نشده",IF(N(X84)&gt;0,"مطابق، دوز مازاد","مطابق"))))))</f>
        <v/>
      </c>
      <c r="AA84" s="13" t="str">
        <f aca="false">IF(B84="","",IFERROR(COUNTIF(J84:Q84,"بله")/(COUNTIF(J84:Q84,"بله")+COUNTIF(J84:Q84,"خیر")),""))</f>
        <v/>
      </c>
      <c r="AB84" s="14" t="str">
        <f aca="false">IF(B84="","",IF(Z84="مطابق",0,IF(Z84="مطابق، دوز مازاد",N(X84)*N(W84),(N(R84)-N(T84))*N(W84))))</f>
        <v/>
      </c>
      <c r="AC84" s="12"/>
      <c r="AD84" s="12"/>
      <c r="AE84" s="10" t="str">
        <f aca="false">IF(B84="","",IF(AND(N(AC84)&gt;0,NOT(OR(Z84="مطابق",Z84="مطابق، دوز مازاد"))),"ریسک کسورات",IF(AND(OR(Z84="مطابق",Z84="مطابق، دوز مازاد"),N(AC84)=0,D84&lt;&gt;"آزاد",D84&lt;&gt;""),"بررسی امکان دریافت از بیمه","")))</f>
        <v/>
      </c>
      <c r="AF84" s="11"/>
    </row>
    <row r="85" customFormat="false" ht="15" hidden="false" customHeight="false" outlineLevel="0" collapsed="false">
      <c r="A85" s="10" t="str">
        <f aca="false">IF(B85="","",ROW()-2)</f>
        <v/>
      </c>
      <c r="B85" s="11"/>
      <c r="C85" s="11"/>
      <c r="D85" s="11"/>
      <c r="E85" s="11"/>
      <c r="F85" s="11"/>
      <c r="G85" s="11"/>
      <c r="H85" s="10" t="str">
        <f aca="false">IF(G85="","",IFERROR(INDEX('اندیکاسیون‌ها'!$C$3:$C$22,MATCH(G85,'اندیکاسیون‌ها'!$A$3:$A$22,0)),"کد نامعتبر"))</f>
        <v/>
      </c>
      <c r="I85" s="10" t="str">
        <f aca="false">IF(G85="","",IFERROR(INDEX('اندیکاسیون‌ها'!$B$3:$B$22,MATCH(G85,'اندیکاسیون‌ها'!$A$3:$A$22,0)),""))</f>
        <v/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0" t="str">
        <f aca="false">IF(G85="","",IFERROR(INDEX('اندیکاسیون‌ها'!$F$3:$F$22,MATCH(G85,'اندیکاسیون‌ها'!$A$3:$A$22,0)),""))</f>
        <v/>
      </c>
      <c r="V85" s="11"/>
      <c r="W85" s="12"/>
      <c r="X85" s="10" t="str">
        <f aca="false">IF(OR(B85="",IF(V85&lt;&gt;"",V85,U85)=""),"",MAX(0,N(R85)-N(T85)-IF(V85&lt;&gt;"",V85,U85)))</f>
        <v/>
      </c>
      <c r="Y85" s="10" t="str">
        <f aca="false">IF(B85="","",N(R85)-N(S85)-N(T85))</f>
        <v/>
      </c>
      <c r="Z85" s="10" t="str">
        <f aca="false">IF(B85="","",IF(OR(G85="",G85="U0"),"اندیکاسیون نامشخص",IF(I85="بدون اندیکاسیون","بدون اندیکاسیون",IF(AND(I85="خارج از جدول",P85&lt;&gt;"بله"),"خارج از جدول بدون تأیید",IF(L85&lt;&gt;"بله","معیار مستند نشده",IF(N(X85)&gt;0,"مطابق، دوز مازاد","مطابق"))))))</f>
        <v/>
      </c>
      <c r="AA85" s="13" t="str">
        <f aca="false">IF(B85="","",IFERROR(COUNTIF(J85:Q85,"بله")/(COUNTIF(J85:Q85,"بله")+COUNTIF(J85:Q85,"خیر")),""))</f>
        <v/>
      </c>
      <c r="AB85" s="14" t="str">
        <f aca="false">IF(B85="","",IF(Z85="مطابق",0,IF(Z85="مطابق، دوز مازاد",N(X85)*N(W85),(N(R85)-N(T85))*N(W85))))</f>
        <v/>
      </c>
      <c r="AC85" s="12"/>
      <c r="AD85" s="12"/>
      <c r="AE85" s="10" t="str">
        <f aca="false">IF(B85="","",IF(AND(N(AC85)&gt;0,NOT(OR(Z85="مطابق",Z85="مطابق، دوز مازاد"))),"ریسک کسورات",IF(AND(OR(Z85="مطابق",Z85="مطابق، دوز مازاد"),N(AC85)=0,D85&lt;&gt;"آزاد",D85&lt;&gt;""),"بررسی امکان دریافت از بیمه","")))</f>
        <v/>
      </c>
      <c r="AF85" s="11"/>
    </row>
    <row r="86" customFormat="false" ht="15" hidden="false" customHeight="false" outlineLevel="0" collapsed="false">
      <c r="A86" s="10" t="str">
        <f aca="false">IF(B86="","",ROW()-2)</f>
        <v/>
      </c>
      <c r="B86" s="11"/>
      <c r="C86" s="11"/>
      <c r="D86" s="11"/>
      <c r="E86" s="11"/>
      <c r="F86" s="11"/>
      <c r="G86" s="11"/>
      <c r="H86" s="10" t="str">
        <f aca="false">IF(G86="","",IFERROR(INDEX('اندیکاسیون‌ها'!$C$3:$C$22,MATCH(G86,'اندیکاسیون‌ها'!$A$3:$A$22,0)),"کد نامعتبر"))</f>
        <v/>
      </c>
      <c r="I86" s="10" t="str">
        <f aca="false">IF(G86="","",IFERROR(INDEX('اندیکاسیون‌ها'!$B$3:$B$22,MATCH(G86,'اندیکاسیون‌ها'!$A$3:$A$22,0)),""))</f>
        <v/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0" t="str">
        <f aca="false">IF(G86="","",IFERROR(INDEX('اندیکاسیون‌ها'!$F$3:$F$22,MATCH(G86,'اندیکاسیون‌ها'!$A$3:$A$22,0)),""))</f>
        <v/>
      </c>
      <c r="V86" s="11"/>
      <c r="W86" s="12"/>
      <c r="X86" s="10" t="str">
        <f aca="false">IF(OR(B86="",IF(V86&lt;&gt;"",V86,U86)=""),"",MAX(0,N(R86)-N(T86)-IF(V86&lt;&gt;"",V86,U86)))</f>
        <v/>
      </c>
      <c r="Y86" s="10" t="str">
        <f aca="false">IF(B86="","",N(R86)-N(S86)-N(T86))</f>
        <v/>
      </c>
      <c r="Z86" s="10" t="str">
        <f aca="false">IF(B86="","",IF(OR(G86="",G86="U0"),"اندیکاسیون نامشخص",IF(I86="بدون اندیکاسیون","بدون اندیکاسیون",IF(AND(I86="خارج از جدول",P86&lt;&gt;"بله"),"خارج از جدول بدون تأیید",IF(L86&lt;&gt;"بله","معیار مستند نشده",IF(N(X86)&gt;0,"مطابق، دوز مازاد","مطابق"))))))</f>
        <v/>
      </c>
      <c r="AA86" s="13" t="str">
        <f aca="false">IF(B86="","",IFERROR(COUNTIF(J86:Q86,"بله")/(COUNTIF(J86:Q86,"بله")+COUNTIF(J86:Q86,"خیر")),""))</f>
        <v/>
      </c>
      <c r="AB86" s="14" t="str">
        <f aca="false">IF(B86="","",IF(Z86="مطابق",0,IF(Z86="مطابق، دوز مازاد",N(X86)*N(W86),(N(R86)-N(T86))*N(W86))))</f>
        <v/>
      </c>
      <c r="AC86" s="12"/>
      <c r="AD86" s="12"/>
      <c r="AE86" s="10" t="str">
        <f aca="false">IF(B86="","",IF(AND(N(AC86)&gt;0,NOT(OR(Z86="مطابق",Z86="مطابق، دوز مازاد"))),"ریسک کسورات",IF(AND(OR(Z86="مطابق",Z86="مطابق، دوز مازاد"),N(AC86)=0,D86&lt;&gt;"آزاد",D86&lt;&gt;""),"بررسی امکان دریافت از بیمه","")))</f>
        <v/>
      </c>
      <c r="AF86" s="11"/>
    </row>
    <row r="87" customFormat="false" ht="15" hidden="false" customHeight="false" outlineLevel="0" collapsed="false">
      <c r="A87" s="10" t="str">
        <f aca="false">IF(B87="","",ROW()-2)</f>
        <v/>
      </c>
      <c r="B87" s="11"/>
      <c r="C87" s="11"/>
      <c r="D87" s="11"/>
      <c r="E87" s="11"/>
      <c r="F87" s="11"/>
      <c r="G87" s="11"/>
      <c r="H87" s="10" t="str">
        <f aca="false">IF(G87="","",IFERROR(INDEX('اندیکاسیون‌ها'!$C$3:$C$22,MATCH(G87,'اندیکاسیون‌ها'!$A$3:$A$22,0)),"کد نامعتبر"))</f>
        <v/>
      </c>
      <c r="I87" s="10" t="str">
        <f aca="false">IF(G87="","",IFERROR(INDEX('اندیکاسیون‌ها'!$B$3:$B$22,MATCH(G87,'اندیکاسیون‌ها'!$A$3:$A$22,0)),""))</f>
        <v/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0" t="str">
        <f aca="false">IF(G87="","",IFERROR(INDEX('اندیکاسیون‌ها'!$F$3:$F$22,MATCH(G87,'اندیکاسیون‌ها'!$A$3:$A$22,0)),""))</f>
        <v/>
      </c>
      <c r="V87" s="11"/>
      <c r="W87" s="12"/>
      <c r="X87" s="10" t="str">
        <f aca="false">IF(OR(B87="",IF(V87&lt;&gt;"",V87,U87)=""),"",MAX(0,N(R87)-N(T87)-IF(V87&lt;&gt;"",V87,U87)))</f>
        <v/>
      </c>
      <c r="Y87" s="10" t="str">
        <f aca="false">IF(B87="","",N(R87)-N(S87)-N(T87))</f>
        <v/>
      </c>
      <c r="Z87" s="10" t="str">
        <f aca="false">IF(B87="","",IF(OR(G87="",G87="U0"),"اندیکاسیون نامشخص",IF(I87="بدون اندیکاسیون","بدون اندیکاسیون",IF(AND(I87="خارج از جدول",P87&lt;&gt;"بله"),"خارج از جدول بدون تأیید",IF(L87&lt;&gt;"بله","معیار مستند نشده",IF(N(X87)&gt;0,"مطابق، دوز مازاد","مطابق"))))))</f>
        <v/>
      </c>
      <c r="AA87" s="13" t="str">
        <f aca="false">IF(B87="","",IFERROR(COUNTIF(J87:Q87,"بله")/(COUNTIF(J87:Q87,"بله")+COUNTIF(J87:Q87,"خیر")),""))</f>
        <v/>
      </c>
      <c r="AB87" s="14" t="str">
        <f aca="false">IF(B87="","",IF(Z87="مطابق",0,IF(Z87="مطابق، دوز مازاد",N(X87)*N(W87),(N(R87)-N(T87))*N(W87))))</f>
        <v/>
      </c>
      <c r="AC87" s="12"/>
      <c r="AD87" s="12"/>
      <c r="AE87" s="10" t="str">
        <f aca="false">IF(B87="","",IF(AND(N(AC87)&gt;0,NOT(OR(Z87="مطابق",Z87="مطابق، دوز مازاد"))),"ریسک کسورات",IF(AND(OR(Z87="مطابق",Z87="مطابق، دوز مازاد"),N(AC87)=0,D87&lt;&gt;"آزاد",D87&lt;&gt;""),"بررسی امکان دریافت از بیمه","")))</f>
        <v/>
      </c>
      <c r="AF87" s="11"/>
    </row>
    <row r="88" customFormat="false" ht="15" hidden="false" customHeight="false" outlineLevel="0" collapsed="false">
      <c r="A88" s="10" t="str">
        <f aca="false">IF(B88="","",ROW()-2)</f>
        <v/>
      </c>
      <c r="B88" s="11"/>
      <c r="C88" s="11"/>
      <c r="D88" s="11"/>
      <c r="E88" s="11"/>
      <c r="F88" s="11"/>
      <c r="G88" s="11"/>
      <c r="H88" s="10" t="str">
        <f aca="false">IF(G88="","",IFERROR(INDEX('اندیکاسیون‌ها'!$C$3:$C$22,MATCH(G88,'اندیکاسیون‌ها'!$A$3:$A$22,0)),"کد نامعتبر"))</f>
        <v/>
      </c>
      <c r="I88" s="10" t="str">
        <f aca="false">IF(G88="","",IFERROR(INDEX('اندیکاسیون‌ها'!$B$3:$B$22,MATCH(G88,'اندیکاسیون‌ها'!$A$3:$A$22,0)),""))</f>
        <v/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0" t="str">
        <f aca="false">IF(G88="","",IFERROR(INDEX('اندیکاسیون‌ها'!$F$3:$F$22,MATCH(G88,'اندیکاسیون‌ها'!$A$3:$A$22,0)),""))</f>
        <v/>
      </c>
      <c r="V88" s="11"/>
      <c r="W88" s="12"/>
      <c r="X88" s="10" t="str">
        <f aca="false">IF(OR(B88="",IF(V88&lt;&gt;"",V88,U88)=""),"",MAX(0,N(R88)-N(T88)-IF(V88&lt;&gt;"",V88,U88)))</f>
        <v/>
      </c>
      <c r="Y88" s="10" t="str">
        <f aca="false">IF(B88="","",N(R88)-N(S88)-N(T88))</f>
        <v/>
      </c>
      <c r="Z88" s="10" t="str">
        <f aca="false">IF(B88="","",IF(OR(G88="",G88="U0"),"اندیکاسیون نامشخص",IF(I88="بدون اندیکاسیون","بدون اندیکاسیون",IF(AND(I88="خارج از جدول",P88&lt;&gt;"بله"),"خارج از جدول بدون تأیید",IF(L88&lt;&gt;"بله","معیار مستند نشده",IF(N(X88)&gt;0,"مطابق، دوز مازاد","مطابق"))))))</f>
        <v/>
      </c>
      <c r="AA88" s="13" t="str">
        <f aca="false">IF(B88="","",IFERROR(COUNTIF(J88:Q88,"بله")/(COUNTIF(J88:Q88,"بله")+COUNTIF(J88:Q88,"خیر")),""))</f>
        <v/>
      </c>
      <c r="AB88" s="14" t="str">
        <f aca="false">IF(B88="","",IF(Z88="مطابق",0,IF(Z88="مطابق، دوز مازاد",N(X88)*N(W88),(N(R88)-N(T88))*N(W88))))</f>
        <v/>
      </c>
      <c r="AC88" s="12"/>
      <c r="AD88" s="12"/>
      <c r="AE88" s="10" t="str">
        <f aca="false">IF(B88="","",IF(AND(N(AC88)&gt;0,NOT(OR(Z88="مطابق",Z88="مطابق، دوز مازاد"))),"ریسک کسورات",IF(AND(OR(Z88="مطابق",Z88="مطابق، دوز مازاد"),N(AC88)=0,D88&lt;&gt;"آزاد",D88&lt;&gt;""),"بررسی امکان دریافت از بیمه","")))</f>
        <v/>
      </c>
      <c r="AF88" s="11"/>
    </row>
    <row r="89" customFormat="false" ht="15" hidden="false" customHeight="false" outlineLevel="0" collapsed="false">
      <c r="A89" s="10" t="str">
        <f aca="false">IF(B89="","",ROW()-2)</f>
        <v/>
      </c>
      <c r="B89" s="11"/>
      <c r="C89" s="11"/>
      <c r="D89" s="11"/>
      <c r="E89" s="11"/>
      <c r="F89" s="11"/>
      <c r="G89" s="11"/>
      <c r="H89" s="10" t="str">
        <f aca="false">IF(G89="","",IFERROR(INDEX('اندیکاسیون‌ها'!$C$3:$C$22,MATCH(G89,'اندیکاسیون‌ها'!$A$3:$A$22,0)),"کد نامعتبر"))</f>
        <v/>
      </c>
      <c r="I89" s="10" t="str">
        <f aca="false">IF(G89="","",IFERROR(INDEX('اندیکاسیون‌ها'!$B$3:$B$22,MATCH(G89,'اندیکاسیون‌ها'!$A$3:$A$22,0)),""))</f>
        <v/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0" t="str">
        <f aca="false">IF(G89="","",IFERROR(INDEX('اندیکاسیون‌ها'!$F$3:$F$22,MATCH(G89,'اندیکاسیون‌ها'!$A$3:$A$22,0)),""))</f>
        <v/>
      </c>
      <c r="V89" s="11"/>
      <c r="W89" s="12"/>
      <c r="X89" s="10" t="str">
        <f aca="false">IF(OR(B89="",IF(V89&lt;&gt;"",V89,U89)=""),"",MAX(0,N(R89)-N(T89)-IF(V89&lt;&gt;"",V89,U89)))</f>
        <v/>
      </c>
      <c r="Y89" s="10" t="str">
        <f aca="false">IF(B89="","",N(R89)-N(S89)-N(T89))</f>
        <v/>
      </c>
      <c r="Z89" s="10" t="str">
        <f aca="false">IF(B89="","",IF(OR(G89="",G89="U0"),"اندیکاسیون نامشخص",IF(I89="بدون اندیکاسیون","بدون اندیکاسیون",IF(AND(I89="خارج از جدول",P89&lt;&gt;"بله"),"خارج از جدول بدون تأیید",IF(L89&lt;&gt;"بله","معیار مستند نشده",IF(N(X89)&gt;0,"مطابق، دوز مازاد","مطابق"))))))</f>
        <v/>
      </c>
      <c r="AA89" s="13" t="str">
        <f aca="false">IF(B89="","",IFERROR(COUNTIF(J89:Q89,"بله")/(COUNTIF(J89:Q89,"بله")+COUNTIF(J89:Q89,"خیر")),""))</f>
        <v/>
      </c>
      <c r="AB89" s="14" t="str">
        <f aca="false">IF(B89="","",IF(Z89="مطابق",0,IF(Z89="مطابق، دوز مازاد",N(X89)*N(W89),(N(R89)-N(T89))*N(W89))))</f>
        <v/>
      </c>
      <c r="AC89" s="12"/>
      <c r="AD89" s="12"/>
      <c r="AE89" s="10" t="str">
        <f aca="false">IF(B89="","",IF(AND(N(AC89)&gt;0,NOT(OR(Z89="مطابق",Z89="مطابق، دوز مازاد"))),"ریسک کسورات",IF(AND(OR(Z89="مطابق",Z89="مطابق، دوز مازاد"),N(AC89)=0,D89&lt;&gt;"آزاد",D89&lt;&gt;""),"بررسی امکان دریافت از بیمه","")))</f>
        <v/>
      </c>
      <c r="AF89" s="11"/>
    </row>
    <row r="90" customFormat="false" ht="15" hidden="false" customHeight="false" outlineLevel="0" collapsed="false">
      <c r="A90" s="10" t="str">
        <f aca="false">IF(B90="","",ROW()-2)</f>
        <v/>
      </c>
      <c r="B90" s="11"/>
      <c r="C90" s="11"/>
      <c r="D90" s="11"/>
      <c r="E90" s="11"/>
      <c r="F90" s="11"/>
      <c r="G90" s="11"/>
      <c r="H90" s="10" t="str">
        <f aca="false">IF(G90="","",IFERROR(INDEX('اندیکاسیون‌ها'!$C$3:$C$22,MATCH(G90,'اندیکاسیون‌ها'!$A$3:$A$22,0)),"کد نامعتبر"))</f>
        <v/>
      </c>
      <c r="I90" s="10" t="str">
        <f aca="false">IF(G90="","",IFERROR(INDEX('اندیکاسیون‌ها'!$B$3:$B$22,MATCH(G90,'اندیکاسیون‌ها'!$A$3:$A$22,0)),""))</f>
        <v/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0" t="str">
        <f aca="false">IF(G90="","",IFERROR(INDEX('اندیکاسیون‌ها'!$F$3:$F$22,MATCH(G90,'اندیکاسیون‌ها'!$A$3:$A$22,0)),""))</f>
        <v/>
      </c>
      <c r="V90" s="11"/>
      <c r="W90" s="12"/>
      <c r="X90" s="10" t="str">
        <f aca="false">IF(OR(B90="",IF(V90&lt;&gt;"",V90,U90)=""),"",MAX(0,N(R90)-N(T90)-IF(V90&lt;&gt;"",V90,U90)))</f>
        <v/>
      </c>
      <c r="Y90" s="10" t="str">
        <f aca="false">IF(B90="","",N(R90)-N(S90)-N(T90))</f>
        <v/>
      </c>
      <c r="Z90" s="10" t="str">
        <f aca="false">IF(B90="","",IF(OR(G90="",G90="U0"),"اندیکاسیون نامشخص",IF(I90="بدون اندیکاسیون","بدون اندیکاسیون",IF(AND(I90="خارج از جدول",P90&lt;&gt;"بله"),"خارج از جدول بدون تأیید",IF(L90&lt;&gt;"بله","معیار مستند نشده",IF(N(X90)&gt;0,"مطابق، دوز مازاد","مطابق"))))))</f>
        <v/>
      </c>
      <c r="AA90" s="13" t="str">
        <f aca="false">IF(B90="","",IFERROR(COUNTIF(J90:Q90,"بله")/(COUNTIF(J90:Q90,"بله")+COUNTIF(J90:Q90,"خیر")),""))</f>
        <v/>
      </c>
      <c r="AB90" s="14" t="str">
        <f aca="false">IF(B90="","",IF(Z90="مطابق",0,IF(Z90="مطابق، دوز مازاد",N(X90)*N(W90),(N(R90)-N(T90))*N(W90))))</f>
        <v/>
      </c>
      <c r="AC90" s="12"/>
      <c r="AD90" s="12"/>
      <c r="AE90" s="10" t="str">
        <f aca="false">IF(B90="","",IF(AND(N(AC90)&gt;0,NOT(OR(Z90="مطابق",Z90="مطابق، دوز مازاد"))),"ریسک کسورات",IF(AND(OR(Z90="مطابق",Z90="مطابق، دوز مازاد"),N(AC90)=0,D90&lt;&gt;"آزاد",D90&lt;&gt;""),"بررسی امکان دریافت از بیمه","")))</f>
        <v/>
      </c>
      <c r="AF90" s="11"/>
    </row>
    <row r="91" customFormat="false" ht="15" hidden="false" customHeight="false" outlineLevel="0" collapsed="false">
      <c r="A91" s="10" t="str">
        <f aca="false">IF(B91="","",ROW()-2)</f>
        <v/>
      </c>
      <c r="B91" s="11"/>
      <c r="C91" s="11"/>
      <c r="D91" s="11"/>
      <c r="E91" s="11"/>
      <c r="F91" s="11"/>
      <c r="G91" s="11"/>
      <c r="H91" s="10" t="str">
        <f aca="false">IF(G91="","",IFERROR(INDEX('اندیکاسیون‌ها'!$C$3:$C$22,MATCH(G91,'اندیکاسیون‌ها'!$A$3:$A$22,0)),"کد نامعتبر"))</f>
        <v/>
      </c>
      <c r="I91" s="10" t="str">
        <f aca="false">IF(G91="","",IFERROR(INDEX('اندیکاسیون‌ها'!$B$3:$B$22,MATCH(G91,'اندیکاسیون‌ها'!$A$3:$A$22,0)),""))</f>
        <v/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0" t="str">
        <f aca="false">IF(G91="","",IFERROR(INDEX('اندیکاسیون‌ها'!$F$3:$F$22,MATCH(G91,'اندیکاسیون‌ها'!$A$3:$A$22,0)),""))</f>
        <v/>
      </c>
      <c r="V91" s="11"/>
      <c r="W91" s="12"/>
      <c r="X91" s="10" t="str">
        <f aca="false">IF(OR(B91="",IF(V91&lt;&gt;"",V91,U91)=""),"",MAX(0,N(R91)-N(T91)-IF(V91&lt;&gt;"",V91,U91)))</f>
        <v/>
      </c>
      <c r="Y91" s="10" t="str">
        <f aca="false">IF(B91="","",N(R91)-N(S91)-N(T91))</f>
        <v/>
      </c>
      <c r="Z91" s="10" t="str">
        <f aca="false">IF(B91="","",IF(OR(G91="",G91="U0"),"اندیکاسیون نامشخص",IF(I91="بدون اندیکاسیون","بدون اندیکاسیون",IF(AND(I91="خارج از جدول",P91&lt;&gt;"بله"),"خارج از جدول بدون تأیید",IF(L91&lt;&gt;"بله","معیار مستند نشده",IF(N(X91)&gt;0,"مطابق، دوز مازاد","مطابق"))))))</f>
        <v/>
      </c>
      <c r="AA91" s="13" t="str">
        <f aca="false">IF(B91="","",IFERROR(COUNTIF(J91:Q91,"بله")/(COUNTIF(J91:Q91,"بله")+COUNTIF(J91:Q91,"خیر")),""))</f>
        <v/>
      </c>
      <c r="AB91" s="14" t="str">
        <f aca="false">IF(B91="","",IF(Z91="مطابق",0,IF(Z91="مطابق، دوز مازاد",N(X91)*N(W91),(N(R91)-N(T91))*N(W91))))</f>
        <v/>
      </c>
      <c r="AC91" s="12"/>
      <c r="AD91" s="12"/>
      <c r="AE91" s="10" t="str">
        <f aca="false">IF(B91="","",IF(AND(N(AC91)&gt;0,NOT(OR(Z91="مطابق",Z91="مطابق، دوز مازاد"))),"ریسک کسورات",IF(AND(OR(Z91="مطابق",Z91="مطابق، دوز مازاد"),N(AC91)=0,D91&lt;&gt;"آزاد",D91&lt;&gt;""),"بررسی امکان دریافت از بیمه","")))</f>
        <v/>
      </c>
      <c r="AF91" s="11"/>
    </row>
    <row r="92" customFormat="false" ht="15" hidden="false" customHeight="false" outlineLevel="0" collapsed="false">
      <c r="A92" s="10" t="str">
        <f aca="false">IF(B92="","",ROW()-2)</f>
        <v/>
      </c>
      <c r="B92" s="11"/>
      <c r="C92" s="11"/>
      <c r="D92" s="11"/>
      <c r="E92" s="11"/>
      <c r="F92" s="11"/>
      <c r="G92" s="11"/>
      <c r="H92" s="10" t="str">
        <f aca="false">IF(G92="","",IFERROR(INDEX('اندیکاسیون‌ها'!$C$3:$C$22,MATCH(G92,'اندیکاسیون‌ها'!$A$3:$A$22,0)),"کد نامعتبر"))</f>
        <v/>
      </c>
      <c r="I92" s="10" t="str">
        <f aca="false">IF(G92="","",IFERROR(INDEX('اندیکاسیون‌ها'!$B$3:$B$22,MATCH(G92,'اندیکاسیون‌ها'!$A$3:$A$22,0)),""))</f>
        <v/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0" t="str">
        <f aca="false">IF(G92="","",IFERROR(INDEX('اندیکاسیون‌ها'!$F$3:$F$22,MATCH(G92,'اندیکاسیون‌ها'!$A$3:$A$22,0)),""))</f>
        <v/>
      </c>
      <c r="V92" s="11"/>
      <c r="W92" s="12"/>
      <c r="X92" s="10" t="str">
        <f aca="false">IF(OR(B92="",IF(V92&lt;&gt;"",V92,U92)=""),"",MAX(0,N(R92)-N(T92)-IF(V92&lt;&gt;"",V92,U92)))</f>
        <v/>
      </c>
      <c r="Y92" s="10" t="str">
        <f aca="false">IF(B92="","",N(R92)-N(S92)-N(T92))</f>
        <v/>
      </c>
      <c r="Z92" s="10" t="str">
        <f aca="false">IF(B92="","",IF(OR(G92="",G92="U0"),"اندیکاسیون نامشخص",IF(I92="بدون اندیکاسیون","بدون اندیکاسیون",IF(AND(I92="خارج از جدول",P92&lt;&gt;"بله"),"خارج از جدول بدون تأیید",IF(L92&lt;&gt;"بله","معیار مستند نشده",IF(N(X92)&gt;0,"مطابق، دوز مازاد","مطابق"))))))</f>
        <v/>
      </c>
      <c r="AA92" s="13" t="str">
        <f aca="false">IF(B92="","",IFERROR(COUNTIF(J92:Q92,"بله")/(COUNTIF(J92:Q92,"بله")+COUNTIF(J92:Q92,"خیر")),""))</f>
        <v/>
      </c>
      <c r="AB92" s="14" t="str">
        <f aca="false">IF(B92="","",IF(Z92="مطابق",0,IF(Z92="مطابق، دوز مازاد",N(X92)*N(W92),(N(R92)-N(T92))*N(W92))))</f>
        <v/>
      </c>
      <c r="AC92" s="12"/>
      <c r="AD92" s="12"/>
      <c r="AE92" s="10" t="str">
        <f aca="false">IF(B92="","",IF(AND(N(AC92)&gt;0,NOT(OR(Z92="مطابق",Z92="مطابق، دوز مازاد"))),"ریسک کسورات",IF(AND(OR(Z92="مطابق",Z92="مطابق، دوز مازاد"),N(AC92)=0,D92&lt;&gt;"آزاد",D92&lt;&gt;""),"بررسی امکان دریافت از بیمه","")))</f>
        <v/>
      </c>
      <c r="AF92" s="11"/>
    </row>
    <row r="93" customFormat="false" ht="15" hidden="false" customHeight="false" outlineLevel="0" collapsed="false">
      <c r="A93" s="10" t="str">
        <f aca="false">IF(B93="","",ROW()-2)</f>
        <v/>
      </c>
      <c r="B93" s="11"/>
      <c r="C93" s="11"/>
      <c r="D93" s="11"/>
      <c r="E93" s="11"/>
      <c r="F93" s="11"/>
      <c r="G93" s="11"/>
      <c r="H93" s="10" t="str">
        <f aca="false">IF(G93="","",IFERROR(INDEX('اندیکاسیون‌ها'!$C$3:$C$22,MATCH(G93,'اندیکاسیون‌ها'!$A$3:$A$22,0)),"کد نامعتبر"))</f>
        <v/>
      </c>
      <c r="I93" s="10" t="str">
        <f aca="false">IF(G93="","",IFERROR(INDEX('اندیکاسیون‌ها'!$B$3:$B$22,MATCH(G93,'اندیکاسیون‌ها'!$A$3:$A$22,0)),""))</f>
        <v/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0" t="str">
        <f aca="false">IF(G93="","",IFERROR(INDEX('اندیکاسیون‌ها'!$F$3:$F$22,MATCH(G93,'اندیکاسیون‌ها'!$A$3:$A$22,0)),""))</f>
        <v/>
      </c>
      <c r="V93" s="11"/>
      <c r="W93" s="12"/>
      <c r="X93" s="10" t="str">
        <f aca="false">IF(OR(B93="",IF(V93&lt;&gt;"",V93,U93)=""),"",MAX(0,N(R93)-N(T93)-IF(V93&lt;&gt;"",V93,U93)))</f>
        <v/>
      </c>
      <c r="Y93" s="10" t="str">
        <f aca="false">IF(B93="","",N(R93)-N(S93)-N(T93))</f>
        <v/>
      </c>
      <c r="Z93" s="10" t="str">
        <f aca="false">IF(B93="","",IF(OR(G93="",G93="U0"),"اندیکاسیون نامشخص",IF(I93="بدون اندیکاسیون","بدون اندیکاسیون",IF(AND(I93="خارج از جدول",P93&lt;&gt;"بله"),"خارج از جدول بدون تأیید",IF(L93&lt;&gt;"بله","معیار مستند نشده",IF(N(X93)&gt;0,"مطابق، دوز مازاد","مطابق"))))))</f>
        <v/>
      </c>
      <c r="AA93" s="13" t="str">
        <f aca="false">IF(B93="","",IFERROR(COUNTIF(J93:Q93,"بله")/(COUNTIF(J93:Q93,"بله")+COUNTIF(J93:Q93,"خیر")),""))</f>
        <v/>
      </c>
      <c r="AB93" s="14" t="str">
        <f aca="false">IF(B93="","",IF(Z93="مطابق",0,IF(Z93="مطابق، دوز مازاد",N(X93)*N(W93),(N(R93)-N(T93))*N(W93))))</f>
        <v/>
      </c>
      <c r="AC93" s="12"/>
      <c r="AD93" s="12"/>
      <c r="AE93" s="10" t="str">
        <f aca="false">IF(B93="","",IF(AND(N(AC93)&gt;0,NOT(OR(Z93="مطابق",Z93="مطابق، دوز مازاد"))),"ریسک کسورات",IF(AND(OR(Z93="مطابق",Z93="مطابق، دوز مازاد"),N(AC93)=0,D93&lt;&gt;"آزاد",D93&lt;&gt;""),"بررسی امکان دریافت از بیمه","")))</f>
        <v/>
      </c>
      <c r="AF93" s="11"/>
    </row>
    <row r="94" customFormat="false" ht="15" hidden="false" customHeight="false" outlineLevel="0" collapsed="false">
      <c r="A94" s="10" t="str">
        <f aca="false">IF(B94="","",ROW()-2)</f>
        <v/>
      </c>
      <c r="B94" s="11"/>
      <c r="C94" s="11"/>
      <c r="D94" s="11"/>
      <c r="E94" s="11"/>
      <c r="F94" s="11"/>
      <c r="G94" s="11"/>
      <c r="H94" s="10" t="str">
        <f aca="false">IF(G94="","",IFERROR(INDEX('اندیکاسیون‌ها'!$C$3:$C$22,MATCH(G94,'اندیکاسیون‌ها'!$A$3:$A$22,0)),"کد نامعتبر"))</f>
        <v/>
      </c>
      <c r="I94" s="10" t="str">
        <f aca="false">IF(G94="","",IFERROR(INDEX('اندیکاسیون‌ها'!$B$3:$B$22,MATCH(G94,'اندیکاسیون‌ها'!$A$3:$A$22,0)),""))</f>
        <v/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0" t="str">
        <f aca="false">IF(G94="","",IFERROR(INDEX('اندیکاسیون‌ها'!$F$3:$F$22,MATCH(G94,'اندیکاسیون‌ها'!$A$3:$A$22,0)),""))</f>
        <v/>
      </c>
      <c r="V94" s="11"/>
      <c r="W94" s="12"/>
      <c r="X94" s="10" t="str">
        <f aca="false">IF(OR(B94="",IF(V94&lt;&gt;"",V94,U94)=""),"",MAX(0,N(R94)-N(T94)-IF(V94&lt;&gt;"",V94,U94)))</f>
        <v/>
      </c>
      <c r="Y94" s="10" t="str">
        <f aca="false">IF(B94="","",N(R94)-N(S94)-N(T94))</f>
        <v/>
      </c>
      <c r="Z94" s="10" t="str">
        <f aca="false">IF(B94="","",IF(OR(G94="",G94="U0"),"اندیکاسیون نامشخص",IF(I94="بدون اندیکاسیون","بدون اندیکاسیون",IF(AND(I94="خارج از جدول",P94&lt;&gt;"بله"),"خارج از جدول بدون تأیید",IF(L94&lt;&gt;"بله","معیار مستند نشده",IF(N(X94)&gt;0,"مطابق، دوز مازاد","مطابق"))))))</f>
        <v/>
      </c>
      <c r="AA94" s="13" t="str">
        <f aca="false">IF(B94="","",IFERROR(COUNTIF(J94:Q94,"بله")/(COUNTIF(J94:Q94,"بله")+COUNTIF(J94:Q94,"خیر")),""))</f>
        <v/>
      </c>
      <c r="AB94" s="14" t="str">
        <f aca="false">IF(B94="","",IF(Z94="مطابق",0,IF(Z94="مطابق، دوز مازاد",N(X94)*N(W94),(N(R94)-N(T94))*N(W94))))</f>
        <v/>
      </c>
      <c r="AC94" s="12"/>
      <c r="AD94" s="12"/>
      <c r="AE94" s="10" t="str">
        <f aca="false">IF(B94="","",IF(AND(N(AC94)&gt;0,NOT(OR(Z94="مطابق",Z94="مطابق، دوز مازاد"))),"ریسک کسورات",IF(AND(OR(Z94="مطابق",Z94="مطابق، دوز مازاد"),N(AC94)=0,D94&lt;&gt;"آزاد",D94&lt;&gt;""),"بررسی امکان دریافت از بیمه","")))</f>
        <v/>
      </c>
      <c r="AF94" s="11"/>
    </row>
    <row r="95" customFormat="false" ht="15" hidden="false" customHeight="false" outlineLevel="0" collapsed="false">
      <c r="A95" s="10" t="str">
        <f aca="false">IF(B95="","",ROW()-2)</f>
        <v/>
      </c>
      <c r="B95" s="11"/>
      <c r="C95" s="11"/>
      <c r="D95" s="11"/>
      <c r="E95" s="11"/>
      <c r="F95" s="11"/>
      <c r="G95" s="11"/>
      <c r="H95" s="10" t="str">
        <f aca="false">IF(G95="","",IFERROR(INDEX('اندیکاسیون‌ها'!$C$3:$C$22,MATCH(G95,'اندیکاسیون‌ها'!$A$3:$A$22,0)),"کد نامعتبر"))</f>
        <v/>
      </c>
      <c r="I95" s="10" t="str">
        <f aca="false">IF(G95="","",IFERROR(INDEX('اندیکاسیون‌ها'!$B$3:$B$22,MATCH(G95,'اندیکاسیون‌ها'!$A$3:$A$22,0)),""))</f>
        <v/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0" t="str">
        <f aca="false">IF(G95="","",IFERROR(INDEX('اندیکاسیون‌ها'!$F$3:$F$22,MATCH(G95,'اندیکاسیون‌ها'!$A$3:$A$22,0)),""))</f>
        <v/>
      </c>
      <c r="V95" s="11"/>
      <c r="W95" s="12"/>
      <c r="X95" s="10" t="str">
        <f aca="false">IF(OR(B95="",IF(V95&lt;&gt;"",V95,U95)=""),"",MAX(0,N(R95)-N(T95)-IF(V95&lt;&gt;"",V95,U95)))</f>
        <v/>
      </c>
      <c r="Y95" s="10" t="str">
        <f aca="false">IF(B95="","",N(R95)-N(S95)-N(T95))</f>
        <v/>
      </c>
      <c r="Z95" s="10" t="str">
        <f aca="false">IF(B95="","",IF(OR(G95="",G95="U0"),"اندیکاسیون نامشخص",IF(I95="بدون اندیکاسیون","بدون اندیکاسیون",IF(AND(I95="خارج از جدول",P95&lt;&gt;"بله"),"خارج از جدول بدون تأیید",IF(L95&lt;&gt;"بله","معیار مستند نشده",IF(N(X95)&gt;0,"مطابق، دوز مازاد","مطابق"))))))</f>
        <v/>
      </c>
      <c r="AA95" s="13" t="str">
        <f aca="false">IF(B95="","",IFERROR(COUNTIF(J95:Q95,"بله")/(COUNTIF(J95:Q95,"بله")+COUNTIF(J95:Q95,"خیر")),""))</f>
        <v/>
      </c>
      <c r="AB95" s="14" t="str">
        <f aca="false">IF(B95="","",IF(Z95="مطابق",0,IF(Z95="مطابق، دوز مازاد",N(X95)*N(W95),(N(R95)-N(T95))*N(W95))))</f>
        <v/>
      </c>
      <c r="AC95" s="12"/>
      <c r="AD95" s="12"/>
      <c r="AE95" s="10" t="str">
        <f aca="false">IF(B95="","",IF(AND(N(AC95)&gt;0,NOT(OR(Z95="مطابق",Z95="مطابق، دوز مازاد"))),"ریسک کسورات",IF(AND(OR(Z95="مطابق",Z95="مطابق، دوز مازاد"),N(AC95)=0,D95&lt;&gt;"آزاد",D95&lt;&gt;""),"بررسی امکان دریافت از بیمه","")))</f>
        <v/>
      </c>
      <c r="AF95" s="11"/>
    </row>
    <row r="96" customFormat="false" ht="15" hidden="false" customHeight="false" outlineLevel="0" collapsed="false">
      <c r="A96" s="10" t="str">
        <f aca="false">IF(B96="","",ROW()-2)</f>
        <v/>
      </c>
      <c r="B96" s="11"/>
      <c r="C96" s="11"/>
      <c r="D96" s="11"/>
      <c r="E96" s="11"/>
      <c r="F96" s="11"/>
      <c r="G96" s="11"/>
      <c r="H96" s="10" t="str">
        <f aca="false">IF(G96="","",IFERROR(INDEX('اندیکاسیون‌ها'!$C$3:$C$22,MATCH(G96,'اندیکاسیون‌ها'!$A$3:$A$22,0)),"کد نامعتبر"))</f>
        <v/>
      </c>
      <c r="I96" s="10" t="str">
        <f aca="false">IF(G96="","",IFERROR(INDEX('اندیکاسیون‌ها'!$B$3:$B$22,MATCH(G96,'اندیکاسیون‌ها'!$A$3:$A$22,0)),""))</f>
        <v/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0" t="str">
        <f aca="false">IF(G96="","",IFERROR(INDEX('اندیکاسیون‌ها'!$F$3:$F$22,MATCH(G96,'اندیکاسیون‌ها'!$A$3:$A$22,0)),""))</f>
        <v/>
      </c>
      <c r="V96" s="11"/>
      <c r="W96" s="12"/>
      <c r="X96" s="10" t="str">
        <f aca="false">IF(OR(B96="",IF(V96&lt;&gt;"",V96,U96)=""),"",MAX(0,N(R96)-N(T96)-IF(V96&lt;&gt;"",V96,U96)))</f>
        <v/>
      </c>
      <c r="Y96" s="10" t="str">
        <f aca="false">IF(B96="","",N(R96)-N(S96)-N(T96))</f>
        <v/>
      </c>
      <c r="Z96" s="10" t="str">
        <f aca="false">IF(B96="","",IF(OR(G96="",G96="U0"),"اندیکاسیون نامشخص",IF(I96="بدون اندیکاسیون","بدون اندیکاسیون",IF(AND(I96="خارج از جدول",P96&lt;&gt;"بله"),"خارج از جدول بدون تأیید",IF(L96&lt;&gt;"بله","معیار مستند نشده",IF(N(X96)&gt;0,"مطابق، دوز مازاد","مطابق"))))))</f>
        <v/>
      </c>
      <c r="AA96" s="13" t="str">
        <f aca="false">IF(B96="","",IFERROR(COUNTIF(J96:Q96,"بله")/(COUNTIF(J96:Q96,"بله")+COUNTIF(J96:Q96,"خیر")),""))</f>
        <v/>
      </c>
      <c r="AB96" s="14" t="str">
        <f aca="false">IF(B96="","",IF(Z96="مطابق",0,IF(Z96="مطابق، دوز مازاد",N(X96)*N(W96),(N(R96)-N(T96))*N(W96))))</f>
        <v/>
      </c>
      <c r="AC96" s="12"/>
      <c r="AD96" s="12"/>
      <c r="AE96" s="10" t="str">
        <f aca="false">IF(B96="","",IF(AND(N(AC96)&gt;0,NOT(OR(Z96="مطابق",Z96="مطابق، دوز مازاد"))),"ریسک کسورات",IF(AND(OR(Z96="مطابق",Z96="مطابق، دوز مازاد"),N(AC96)=0,D96&lt;&gt;"آزاد",D96&lt;&gt;""),"بررسی امکان دریافت از بیمه","")))</f>
        <v/>
      </c>
      <c r="AF96" s="11"/>
    </row>
    <row r="97" customFormat="false" ht="15" hidden="false" customHeight="false" outlineLevel="0" collapsed="false">
      <c r="A97" s="10" t="str">
        <f aca="false">IF(B97="","",ROW()-2)</f>
        <v/>
      </c>
      <c r="B97" s="11"/>
      <c r="C97" s="11"/>
      <c r="D97" s="11"/>
      <c r="E97" s="11"/>
      <c r="F97" s="11"/>
      <c r="G97" s="11"/>
      <c r="H97" s="10" t="str">
        <f aca="false">IF(G97="","",IFERROR(INDEX('اندیکاسیون‌ها'!$C$3:$C$22,MATCH(G97,'اندیکاسیون‌ها'!$A$3:$A$22,0)),"کد نامعتبر"))</f>
        <v/>
      </c>
      <c r="I97" s="10" t="str">
        <f aca="false">IF(G97="","",IFERROR(INDEX('اندیکاسیون‌ها'!$B$3:$B$22,MATCH(G97,'اندیکاسیون‌ها'!$A$3:$A$22,0)),""))</f>
        <v/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0" t="str">
        <f aca="false">IF(G97="","",IFERROR(INDEX('اندیکاسیون‌ها'!$F$3:$F$22,MATCH(G97,'اندیکاسیون‌ها'!$A$3:$A$22,0)),""))</f>
        <v/>
      </c>
      <c r="V97" s="11"/>
      <c r="W97" s="12"/>
      <c r="X97" s="10" t="str">
        <f aca="false">IF(OR(B97="",IF(V97&lt;&gt;"",V97,U97)=""),"",MAX(0,N(R97)-N(T97)-IF(V97&lt;&gt;"",V97,U97)))</f>
        <v/>
      </c>
      <c r="Y97" s="10" t="str">
        <f aca="false">IF(B97="","",N(R97)-N(S97)-N(T97))</f>
        <v/>
      </c>
      <c r="Z97" s="10" t="str">
        <f aca="false">IF(B97="","",IF(OR(G97="",G97="U0"),"اندیکاسیون نامشخص",IF(I97="بدون اندیکاسیون","بدون اندیکاسیون",IF(AND(I97="خارج از جدول",P97&lt;&gt;"بله"),"خارج از جدول بدون تأیید",IF(L97&lt;&gt;"بله","معیار مستند نشده",IF(N(X97)&gt;0,"مطابق، دوز مازاد","مطابق"))))))</f>
        <v/>
      </c>
      <c r="AA97" s="13" t="str">
        <f aca="false">IF(B97="","",IFERROR(COUNTIF(J97:Q97,"بله")/(COUNTIF(J97:Q97,"بله")+COUNTIF(J97:Q97,"خیر")),""))</f>
        <v/>
      </c>
      <c r="AB97" s="14" t="str">
        <f aca="false">IF(B97="","",IF(Z97="مطابق",0,IF(Z97="مطابق، دوز مازاد",N(X97)*N(W97),(N(R97)-N(T97))*N(W97))))</f>
        <v/>
      </c>
      <c r="AC97" s="12"/>
      <c r="AD97" s="12"/>
      <c r="AE97" s="10" t="str">
        <f aca="false">IF(B97="","",IF(AND(N(AC97)&gt;0,NOT(OR(Z97="مطابق",Z97="مطابق، دوز مازاد"))),"ریسک کسورات",IF(AND(OR(Z97="مطابق",Z97="مطابق، دوز مازاد"),N(AC97)=0,D97&lt;&gt;"آزاد",D97&lt;&gt;""),"بررسی امکان دریافت از بیمه","")))</f>
        <v/>
      </c>
      <c r="AF97" s="11"/>
    </row>
    <row r="98" customFormat="false" ht="15" hidden="false" customHeight="false" outlineLevel="0" collapsed="false">
      <c r="A98" s="10" t="str">
        <f aca="false">IF(B98="","",ROW()-2)</f>
        <v/>
      </c>
      <c r="B98" s="11"/>
      <c r="C98" s="11"/>
      <c r="D98" s="11"/>
      <c r="E98" s="11"/>
      <c r="F98" s="11"/>
      <c r="G98" s="11"/>
      <c r="H98" s="10" t="str">
        <f aca="false">IF(G98="","",IFERROR(INDEX('اندیکاسیون‌ها'!$C$3:$C$22,MATCH(G98,'اندیکاسیون‌ها'!$A$3:$A$22,0)),"کد نامعتبر"))</f>
        <v/>
      </c>
      <c r="I98" s="10" t="str">
        <f aca="false">IF(G98="","",IFERROR(INDEX('اندیکاسیون‌ها'!$B$3:$B$22,MATCH(G98,'اندیکاسیون‌ها'!$A$3:$A$22,0)),""))</f>
        <v/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0" t="str">
        <f aca="false">IF(G98="","",IFERROR(INDEX('اندیکاسیون‌ها'!$F$3:$F$22,MATCH(G98,'اندیکاسیون‌ها'!$A$3:$A$22,0)),""))</f>
        <v/>
      </c>
      <c r="V98" s="11"/>
      <c r="W98" s="12"/>
      <c r="X98" s="10" t="str">
        <f aca="false">IF(OR(B98="",IF(V98&lt;&gt;"",V98,U98)=""),"",MAX(0,N(R98)-N(T98)-IF(V98&lt;&gt;"",V98,U98)))</f>
        <v/>
      </c>
      <c r="Y98" s="10" t="str">
        <f aca="false">IF(B98="","",N(R98)-N(S98)-N(T98))</f>
        <v/>
      </c>
      <c r="Z98" s="10" t="str">
        <f aca="false">IF(B98="","",IF(OR(G98="",G98="U0"),"اندیکاسیون نامشخص",IF(I98="بدون اندیکاسیون","بدون اندیکاسیون",IF(AND(I98="خارج از جدول",P98&lt;&gt;"بله"),"خارج از جدول بدون تأیید",IF(L98&lt;&gt;"بله","معیار مستند نشده",IF(N(X98)&gt;0,"مطابق، دوز مازاد","مطابق"))))))</f>
        <v/>
      </c>
      <c r="AA98" s="13" t="str">
        <f aca="false">IF(B98="","",IFERROR(COUNTIF(J98:Q98,"بله")/(COUNTIF(J98:Q98,"بله")+COUNTIF(J98:Q98,"خیر")),""))</f>
        <v/>
      </c>
      <c r="AB98" s="14" t="str">
        <f aca="false">IF(B98="","",IF(Z98="مطابق",0,IF(Z98="مطابق، دوز مازاد",N(X98)*N(W98),(N(R98)-N(T98))*N(W98))))</f>
        <v/>
      </c>
      <c r="AC98" s="12"/>
      <c r="AD98" s="12"/>
      <c r="AE98" s="10" t="str">
        <f aca="false">IF(B98="","",IF(AND(N(AC98)&gt;0,NOT(OR(Z98="مطابق",Z98="مطابق، دوز مازاد"))),"ریسک کسورات",IF(AND(OR(Z98="مطابق",Z98="مطابق، دوز مازاد"),N(AC98)=0,D98&lt;&gt;"آزاد",D98&lt;&gt;""),"بررسی امکان دریافت از بیمه","")))</f>
        <v/>
      </c>
      <c r="AF98" s="11"/>
    </row>
    <row r="99" customFormat="false" ht="15" hidden="false" customHeight="false" outlineLevel="0" collapsed="false">
      <c r="A99" s="10" t="str">
        <f aca="false">IF(B99="","",ROW()-2)</f>
        <v/>
      </c>
      <c r="B99" s="11"/>
      <c r="C99" s="11"/>
      <c r="D99" s="11"/>
      <c r="E99" s="11"/>
      <c r="F99" s="11"/>
      <c r="G99" s="11"/>
      <c r="H99" s="10" t="str">
        <f aca="false">IF(G99="","",IFERROR(INDEX('اندیکاسیون‌ها'!$C$3:$C$22,MATCH(G99,'اندیکاسیون‌ها'!$A$3:$A$22,0)),"کد نامعتبر"))</f>
        <v/>
      </c>
      <c r="I99" s="10" t="str">
        <f aca="false">IF(G99="","",IFERROR(INDEX('اندیکاسیون‌ها'!$B$3:$B$22,MATCH(G99,'اندیکاسیون‌ها'!$A$3:$A$22,0)),""))</f>
        <v/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0" t="str">
        <f aca="false">IF(G99="","",IFERROR(INDEX('اندیکاسیون‌ها'!$F$3:$F$22,MATCH(G99,'اندیکاسیون‌ها'!$A$3:$A$22,0)),""))</f>
        <v/>
      </c>
      <c r="V99" s="11"/>
      <c r="W99" s="12"/>
      <c r="X99" s="10" t="str">
        <f aca="false">IF(OR(B99="",IF(V99&lt;&gt;"",V99,U99)=""),"",MAX(0,N(R99)-N(T99)-IF(V99&lt;&gt;"",V99,U99)))</f>
        <v/>
      </c>
      <c r="Y99" s="10" t="str">
        <f aca="false">IF(B99="","",N(R99)-N(S99)-N(T99))</f>
        <v/>
      </c>
      <c r="Z99" s="10" t="str">
        <f aca="false">IF(B99="","",IF(OR(G99="",G99="U0"),"اندیکاسیون نامشخص",IF(I99="بدون اندیکاسیون","بدون اندیکاسیون",IF(AND(I99="خارج از جدول",P99&lt;&gt;"بله"),"خارج از جدول بدون تأیید",IF(L99&lt;&gt;"بله","معیار مستند نشده",IF(N(X99)&gt;0,"مطابق، دوز مازاد","مطابق"))))))</f>
        <v/>
      </c>
      <c r="AA99" s="13" t="str">
        <f aca="false">IF(B99="","",IFERROR(COUNTIF(J99:Q99,"بله")/(COUNTIF(J99:Q99,"بله")+COUNTIF(J99:Q99,"خیر")),""))</f>
        <v/>
      </c>
      <c r="AB99" s="14" t="str">
        <f aca="false">IF(B99="","",IF(Z99="مطابق",0,IF(Z99="مطابق، دوز مازاد",N(X99)*N(W99),(N(R99)-N(T99))*N(W99))))</f>
        <v/>
      </c>
      <c r="AC99" s="12"/>
      <c r="AD99" s="12"/>
      <c r="AE99" s="10" t="str">
        <f aca="false">IF(B99="","",IF(AND(N(AC99)&gt;0,NOT(OR(Z99="مطابق",Z99="مطابق، دوز مازاد"))),"ریسک کسورات",IF(AND(OR(Z99="مطابق",Z99="مطابق، دوز مازاد"),N(AC99)=0,D99&lt;&gt;"آزاد",D99&lt;&gt;""),"بررسی امکان دریافت از بیمه","")))</f>
        <v/>
      </c>
      <c r="AF99" s="11"/>
    </row>
    <row r="100" customFormat="false" ht="15" hidden="false" customHeight="false" outlineLevel="0" collapsed="false">
      <c r="A100" s="10" t="str">
        <f aca="false">IF(B100="","",ROW()-2)</f>
        <v/>
      </c>
      <c r="B100" s="11"/>
      <c r="C100" s="11"/>
      <c r="D100" s="11"/>
      <c r="E100" s="11"/>
      <c r="F100" s="11"/>
      <c r="G100" s="11"/>
      <c r="H100" s="10" t="str">
        <f aca="false">IF(G100="","",IFERROR(INDEX('اندیکاسیون‌ها'!$C$3:$C$22,MATCH(G100,'اندیکاسیون‌ها'!$A$3:$A$22,0)),"کد نامعتبر"))</f>
        <v/>
      </c>
      <c r="I100" s="10" t="str">
        <f aca="false">IF(G100="","",IFERROR(INDEX('اندیکاسیون‌ها'!$B$3:$B$22,MATCH(G100,'اندیکاسیون‌ها'!$A$3:$A$22,0)),""))</f>
        <v/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0" t="str">
        <f aca="false">IF(G100="","",IFERROR(INDEX('اندیکاسیون‌ها'!$F$3:$F$22,MATCH(G100,'اندیکاسیون‌ها'!$A$3:$A$22,0)),""))</f>
        <v/>
      </c>
      <c r="V100" s="11"/>
      <c r="W100" s="12"/>
      <c r="X100" s="10" t="str">
        <f aca="false">IF(OR(B100="",IF(V100&lt;&gt;"",V100,U100)=""),"",MAX(0,N(R100)-N(T100)-IF(V100&lt;&gt;"",V100,U100)))</f>
        <v/>
      </c>
      <c r="Y100" s="10" t="str">
        <f aca="false">IF(B100="","",N(R100)-N(S100)-N(T100))</f>
        <v/>
      </c>
      <c r="Z100" s="10" t="str">
        <f aca="false">IF(B100="","",IF(OR(G100="",G100="U0"),"اندیکاسیون نامشخص",IF(I100="بدون اندیکاسیون","بدون اندیکاسیون",IF(AND(I100="خارج از جدول",P100&lt;&gt;"بله"),"خارج از جدول بدون تأیید",IF(L100&lt;&gt;"بله","معیار مستند نشده",IF(N(X100)&gt;0,"مطابق، دوز مازاد","مطابق"))))))</f>
        <v/>
      </c>
      <c r="AA100" s="13" t="str">
        <f aca="false">IF(B100="","",IFERROR(COUNTIF(J100:Q100,"بله")/(COUNTIF(J100:Q100,"بله")+COUNTIF(J100:Q100,"خیر")),""))</f>
        <v/>
      </c>
      <c r="AB100" s="14" t="str">
        <f aca="false">IF(B100="","",IF(Z100="مطابق",0,IF(Z100="مطابق، دوز مازاد",N(X100)*N(W100),(N(R100)-N(T100))*N(W100))))</f>
        <v/>
      </c>
      <c r="AC100" s="12"/>
      <c r="AD100" s="12"/>
      <c r="AE100" s="10" t="str">
        <f aca="false">IF(B100="","",IF(AND(N(AC100)&gt;0,NOT(OR(Z100="مطابق",Z100="مطابق، دوز مازاد"))),"ریسک کسورات",IF(AND(OR(Z100="مطابق",Z100="مطابق، دوز مازاد"),N(AC100)=0,D100&lt;&gt;"آزاد",D100&lt;&gt;""),"بررسی امکان دریافت از بیمه","")))</f>
        <v/>
      </c>
      <c r="AF100" s="11"/>
    </row>
    <row r="101" customFormat="false" ht="15" hidden="false" customHeight="false" outlineLevel="0" collapsed="false">
      <c r="A101" s="10" t="str">
        <f aca="false">IF(B101="","",ROW()-2)</f>
        <v/>
      </c>
      <c r="B101" s="11"/>
      <c r="C101" s="11"/>
      <c r="D101" s="11"/>
      <c r="E101" s="11"/>
      <c r="F101" s="11"/>
      <c r="G101" s="11"/>
      <c r="H101" s="10" t="str">
        <f aca="false">IF(G101="","",IFERROR(INDEX('اندیکاسیون‌ها'!$C$3:$C$22,MATCH(G101,'اندیکاسیون‌ها'!$A$3:$A$22,0)),"کد نامعتبر"))</f>
        <v/>
      </c>
      <c r="I101" s="10" t="str">
        <f aca="false">IF(G101="","",IFERROR(INDEX('اندیکاسیون‌ها'!$B$3:$B$22,MATCH(G101,'اندیکاسیون‌ها'!$A$3:$A$22,0)),""))</f>
        <v/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0" t="str">
        <f aca="false">IF(G101="","",IFERROR(INDEX('اندیکاسیون‌ها'!$F$3:$F$22,MATCH(G101,'اندیکاسیون‌ها'!$A$3:$A$22,0)),""))</f>
        <v/>
      </c>
      <c r="V101" s="11"/>
      <c r="W101" s="12"/>
      <c r="X101" s="10" t="str">
        <f aca="false">IF(OR(B101="",IF(V101&lt;&gt;"",V101,U101)=""),"",MAX(0,N(R101)-N(T101)-IF(V101&lt;&gt;"",V101,U101)))</f>
        <v/>
      </c>
      <c r="Y101" s="10" t="str">
        <f aca="false">IF(B101="","",N(R101)-N(S101)-N(T101))</f>
        <v/>
      </c>
      <c r="Z101" s="10" t="str">
        <f aca="false">IF(B101="","",IF(OR(G101="",G101="U0"),"اندیکاسیون نامشخص",IF(I101="بدون اندیکاسیون","بدون اندیکاسیون",IF(AND(I101="خارج از جدول",P101&lt;&gt;"بله"),"خارج از جدول بدون تأیید",IF(L101&lt;&gt;"بله","معیار مستند نشده",IF(N(X101)&gt;0,"مطابق، دوز مازاد","مطابق"))))))</f>
        <v/>
      </c>
      <c r="AA101" s="13" t="str">
        <f aca="false">IF(B101="","",IFERROR(COUNTIF(J101:Q101,"بله")/(COUNTIF(J101:Q101,"بله")+COUNTIF(J101:Q101,"خیر")),""))</f>
        <v/>
      </c>
      <c r="AB101" s="14" t="str">
        <f aca="false">IF(B101="","",IF(Z101="مطابق",0,IF(Z101="مطابق، دوز مازاد",N(X101)*N(W101),(N(R101)-N(T101))*N(W101))))</f>
        <v/>
      </c>
      <c r="AC101" s="12"/>
      <c r="AD101" s="12"/>
      <c r="AE101" s="10" t="str">
        <f aca="false">IF(B101="","",IF(AND(N(AC101)&gt;0,NOT(OR(Z101="مطابق",Z101="مطابق، دوز مازاد"))),"ریسک کسورات",IF(AND(OR(Z101="مطابق",Z101="مطابق، دوز مازاد"),N(AC101)=0,D101&lt;&gt;"آزاد",D101&lt;&gt;""),"بررسی امکان دریافت از بیمه","")))</f>
        <v/>
      </c>
      <c r="AF101" s="11"/>
    </row>
    <row r="102" customFormat="false" ht="15" hidden="false" customHeight="false" outlineLevel="0" collapsed="false">
      <c r="A102" s="10" t="str">
        <f aca="false">IF(B102="","",ROW()-2)</f>
        <v/>
      </c>
      <c r="B102" s="11"/>
      <c r="C102" s="11"/>
      <c r="D102" s="11"/>
      <c r="E102" s="11"/>
      <c r="F102" s="11"/>
      <c r="G102" s="11"/>
      <c r="H102" s="10" t="str">
        <f aca="false">IF(G102="","",IFERROR(INDEX('اندیکاسیون‌ها'!$C$3:$C$22,MATCH(G102,'اندیکاسیون‌ها'!$A$3:$A$22,0)),"کد نامعتبر"))</f>
        <v/>
      </c>
      <c r="I102" s="10" t="str">
        <f aca="false">IF(G102="","",IFERROR(INDEX('اندیکاسیون‌ها'!$B$3:$B$22,MATCH(G102,'اندیکاسیون‌ها'!$A$3:$A$22,0)),""))</f>
        <v/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0" t="str">
        <f aca="false">IF(G102="","",IFERROR(INDEX('اندیکاسیون‌ها'!$F$3:$F$22,MATCH(G102,'اندیکاسیون‌ها'!$A$3:$A$22,0)),""))</f>
        <v/>
      </c>
      <c r="V102" s="11"/>
      <c r="W102" s="12"/>
      <c r="X102" s="10" t="str">
        <f aca="false">IF(OR(B102="",IF(V102&lt;&gt;"",V102,U102)=""),"",MAX(0,N(R102)-N(T102)-IF(V102&lt;&gt;"",V102,U102)))</f>
        <v/>
      </c>
      <c r="Y102" s="10" t="str">
        <f aca="false">IF(B102="","",N(R102)-N(S102)-N(T102))</f>
        <v/>
      </c>
      <c r="Z102" s="10" t="str">
        <f aca="false">IF(B102="","",IF(OR(G102="",G102="U0"),"اندیکاسیون نامشخص",IF(I102="بدون اندیکاسیون","بدون اندیکاسیون",IF(AND(I102="خارج از جدول",P102&lt;&gt;"بله"),"خارج از جدول بدون تأیید",IF(L102&lt;&gt;"بله","معیار مستند نشده",IF(N(X102)&gt;0,"مطابق، دوز مازاد","مطابق"))))))</f>
        <v/>
      </c>
      <c r="AA102" s="13" t="str">
        <f aca="false">IF(B102="","",IFERROR(COUNTIF(J102:Q102,"بله")/(COUNTIF(J102:Q102,"بله")+COUNTIF(J102:Q102,"خیر")),""))</f>
        <v/>
      </c>
      <c r="AB102" s="14" t="str">
        <f aca="false">IF(B102="","",IF(Z102="مطابق",0,IF(Z102="مطابق، دوز مازاد",N(X102)*N(W102),(N(R102)-N(T102))*N(W102))))</f>
        <v/>
      </c>
      <c r="AC102" s="12"/>
      <c r="AD102" s="12"/>
      <c r="AE102" s="10" t="str">
        <f aca="false">IF(B102="","",IF(AND(N(AC102)&gt;0,NOT(OR(Z102="مطابق",Z102="مطابق، دوز مازاد"))),"ریسک کسورات",IF(AND(OR(Z102="مطابق",Z102="مطابق، دوز مازاد"),N(AC102)=0,D102&lt;&gt;"آزاد",D102&lt;&gt;""),"بررسی امکان دریافت از بیمه","")))</f>
        <v/>
      </c>
      <c r="AF102" s="11"/>
    </row>
    <row r="103" customFormat="false" ht="15" hidden="false" customHeight="false" outlineLevel="0" collapsed="false">
      <c r="A103" s="10" t="str">
        <f aca="false">IF(B103="","",ROW()-2)</f>
        <v/>
      </c>
      <c r="B103" s="11"/>
      <c r="C103" s="11"/>
      <c r="D103" s="11"/>
      <c r="E103" s="11"/>
      <c r="F103" s="11"/>
      <c r="G103" s="11"/>
      <c r="H103" s="10" t="str">
        <f aca="false">IF(G103="","",IFERROR(INDEX('اندیکاسیون‌ها'!$C$3:$C$22,MATCH(G103,'اندیکاسیون‌ها'!$A$3:$A$22,0)),"کد نامعتبر"))</f>
        <v/>
      </c>
      <c r="I103" s="10" t="str">
        <f aca="false">IF(G103="","",IFERROR(INDEX('اندیکاسیون‌ها'!$B$3:$B$22,MATCH(G103,'اندیکاسیون‌ها'!$A$3:$A$22,0)),""))</f>
        <v/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0" t="str">
        <f aca="false">IF(G103="","",IFERROR(INDEX('اندیکاسیون‌ها'!$F$3:$F$22,MATCH(G103,'اندیکاسیون‌ها'!$A$3:$A$22,0)),""))</f>
        <v/>
      </c>
      <c r="V103" s="11"/>
      <c r="W103" s="12"/>
      <c r="X103" s="10" t="str">
        <f aca="false">IF(OR(B103="",IF(V103&lt;&gt;"",V103,U103)=""),"",MAX(0,N(R103)-N(T103)-IF(V103&lt;&gt;"",V103,U103)))</f>
        <v/>
      </c>
      <c r="Y103" s="10" t="str">
        <f aca="false">IF(B103="","",N(R103)-N(S103)-N(T103))</f>
        <v/>
      </c>
      <c r="Z103" s="10" t="str">
        <f aca="false">IF(B103="","",IF(OR(G103="",G103="U0"),"اندیکاسیون نامشخص",IF(I103="بدون اندیکاسیون","بدون اندیکاسیون",IF(AND(I103="خارج از جدول",P103&lt;&gt;"بله"),"خارج از جدول بدون تأیید",IF(L103&lt;&gt;"بله","معیار مستند نشده",IF(N(X103)&gt;0,"مطابق، دوز مازاد","مطابق"))))))</f>
        <v/>
      </c>
      <c r="AA103" s="13" t="str">
        <f aca="false">IF(B103="","",IFERROR(COUNTIF(J103:Q103,"بله")/(COUNTIF(J103:Q103,"بله")+COUNTIF(J103:Q103,"خیر")),""))</f>
        <v/>
      </c>
      <c r="AB103" s="14" t="str">
        <f aca="false">IF(B103="","",IF(Z103="مطابق",0,IF(Z103="مطابق، دوز مازاد",N(X103)*N(W103),(N(R103)-N(T103))*N(W103))))</f>
        <v/>
      </c>
      <c r="AC103" s="12"/>
      <c r="AD103" s="12"/>
      <c r="AE103" s="10" t="str">
        <f aca="false">IF(B103="","",IF(AND(N(AC103)&gt;0,NOT(OR(Z103="مطابق",Z103="مطابق، دوز مازاد"))),"ریسک کسورات",IF(AND(OR(Z103="مطابق",Z103="مطابق، دوز مازاد"),N(AC103)=0,D103&lt;&gt;"آزاد",D103&lt;&gt;""),"بررسی امکان دریافت از بیمه","")))</f>
        <v/>
      </c>
      <c r="AF103" s="11"/>
    </row>
    <row r="104" customFormat="false" ht="15" hidden="false" customHeight="false" outlineLevel="0" collapsed="false">
      <c r="A104" s="10" t="str">
        <f aca="false">IF(B104="","",ROW()-2)</f>
        <v/>
      </c>
      <c r="B104" s="11"/>
      <c r="C104" s="11"/>
      <c r="D104" s="11"/>
      <c r="E104" s="11"/>
      <c r="F104" s="11"/>
      <c r="G104" s="11"/>
      <c r="H104" s="10" t="str">
        <f aca="false">IF(G104="","",IFERROR(INDEX('اندیکاسیون‌ها'!$C$3:$C$22,MATCH(G104,'اندیکاسیون‌ها'!$A$3:$A$22,0)),"کد نامعتبر"))</f>
        <v/>
      </c>
      <c r="I104" s="10" t="str">
        <f aca="false">IF(G104="","",IFERROR(INDEX('اندیکاسیون‌ها'!$B$3:$B$22,MATCH(G104,'اندیکاسیون‌ها'!$A$3:$A$22,0)),""))</f>
        <v/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0" t="str">
        <f aca="false">IF(G104="","",IFERROR(INDEX('اندیکاسیون‌ها'!$F$3:$F$22,MATCH(G104,'اندیکاسیون‌ها'!$A$3:$A$22,0)),""))</f>
        <v/>
      </c>
      <c r="V104" s="11"/>
      <c r="W104" s="12"/>
      <c r="X104" s="10" t="str">
        <f aca="false">IF(OR(B104="",IF(V104&lt;&gt;"",V104,U104)=""),"",MAX(0,N(R104)-N(T104)-IF(V104&lt;&gt;"",V104,U104)))</f>
        <v/>
      </c>
      <c r="Y104" s="10" t="str">
        <f aca="false">IF(B104="","",N(R104)-N(S104)-N(T104))</f>
        <v/>
      </c>
      <c r="Z104" s="10" t="str">
        <f aca="false">IF(B104="","",IF(OR(G104="",G104="U0"),"اندیکاسیون نامشخص",IF(I104="بدون اندیکاسیون","بدون اندیکاسیون",IF(AND(I104="خارج از جدول",P104&lt;&gt;"بله"),"خارج از جدول بدون تأیید",IF(L104&lt;&gt;"بله","معیار مستند نشده",IF(N(X104)&gt;0,"مطابق، دوز مازاد","مطابق"))))))</f>
        <v/>
      </c>
      <c r="AA104" s="13" t="str">
        <f aca="false">IF(B104="","",IFERROR(COUNTIF(J104:Q104,"بله")/(COUNTIF(J104:Q104,"بله")+COUNTIF(J104:Q104,"خیر")),""))</f>
        <v/>
      </c>
      <c r="AB104" s="14" t="str">
        <f aca="false">IF(B104="","",IF(Z104="مطابق",0,IF(Z104="مطابق، دوز مازاد",N(X104)*N(W104),(N(R104)-N(T104))*N(W104))))</f>
        <v/>
      </c>
      <c r="AC104" s="12"/>
      <c r="AD104" s="12"/>
      <c r="AE104" s="10" t="str">
        <f aca="false">IF(B104="","",IF(AND(N(AC104)&gt;0,NOT(OR(Z104="مطابق",Z104="مطابق، دوز مازاد"))),"ریسک کسورات",IF(AND(OR(Z104="مطابق",Z104="مطابق، دوز مازاد"),N(AC104)=0,D104&lt;&gt;"آزاد",D104&lt;&gt;""),"بررسی امکان دریافت از بیمه","")))</f>
        <v/>
      </c>
      <c r="AF104" s="11"/>
    </row>
    <row r="105" customFormat="false" ht="15" hidden="false" customHeight="false" outlineLevel="0" collapsed="false">
      <c r="A105" s="10" t="str">
        <f aca="false">IF(B105="","",ROW()-2)</f>
        <v/>
      </c>
      <c r="B105" s="11"/>
      <c r="C105" s="11"/>
      <c r="D105" s="11"/>
      <c r="E105" s="11"/>
      <c r="F105" s="11"/>
      <c r="G105" s="11"/>
      <c r="H105" s="10" t="str">
        <f aca="false">IF(G105="","",IFERROR(INDEX('اندیکاسیون‌ها'!$C$3:$C$22,MATCH(G105,'اندیکاسیون‌ها'!$A$3:$A$22,0)),"کد نامعتبر"))</f>
        <v/>
      </c>
      <c r="I105" s="10" t="str">
        <f aca="false">IF(G105="","",IFERROR(INDEX('اندیکاسیون‌ها'!$B$3:$B$22,MATCH(G105,'اندیکاسیون‌ها'!$A$3:$A$22,0)),""))</f>
        <v/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0" t="str">
        <f aca="false">IF(G105="","",IFERROR(INDEX('اندیکاسیون‌ها'!$F$3:$F$22,MATCH(G105,'اندیکاسیون‌ها'!$A$3:$A$22,0)),""))</f>
        <v/>
      </c>
      <c r="V105" s="11"/>
      <c r="W105" s="12"/>
      <c r="X105" s="10" t="str">
        <f aca="false">IF(OR(B105="",IF(V105&lt;&gt;"",V105,U105)=""),"",MAX(0,N(R105)-N(T105)-IF(V105&lt;&gt;"",V105,U105)))</f>
        <v/>
      </c>
      <c r="Y105" s="10" t="str">
        <f aca="false">IF(B105="","",N(R105)-N(S105)-N(T105))</f>
        <v/>
      </c>
      <c r="Z105" s="10" t="str">
        <f aca="false">IF(B105="","",IF(OR(G105="",G105="U0"),"اندیکاسیون نامشخص",IF(I105="بدون اندیکاسیون","بدون اندیکاسیون",IF(AND(I105="خارج از جدول",P105&lt;&gt;"بله"),"خارج از جدول بدون تأیید",IF(L105&lt;&gt;"بله","معیار مستند نشده",IF(N(X105)&gt;0,"مطابق، دوز مازاد","مطابق"))))))</f>
        <v/>
      </c>
      <c r="AA105" s="13" t="str">
        <f aca="false">IF(B105="","",IFERROR(COUNTIF(J105:Q105,"بله")/(COUNTIF(J105:Q105,"بله")+COUNTIF(J105:Q105,"خیر")),""))</f>
        <v/>
      </c>
      <c r="AB105" s="14" t="str">
        <f aca="false">IF(B105="","",IF(Z105="مطابق",0,IF(Z105="مطابق، دوز مازاد",N(X105)*N(W105),(N(R105)-N(T105))*N(W105))))</f>
        <v/>
      </c>
      <c r="AC105" s="12"/>
      <c r="AD105" s="12"/>
      <c r="AE105" s="10" t="str">
        <f aca="false">IF(B105="","",IF(AND(N(AC105)&gt;0,NOT(OR(Z105="مطابق",Z105="مطابق، دوز مازاد"))),"ریسک کسورات",IF(AND(OR(Z105="مطابق",Z105="مطابق، دوز مازاد"),N(AC105)=0,D105&lt;&gt;"آزاد",D105&lt;&gt;""),"بررسی امکان دریافت از بیمه","")))</f>
        <v/>
      </c>
      <c r="AF105" s="11"/>
    </row>
    <row r="106" customFormat="false" ht="15" hidden="false" customHeight="false" outlineLevel="0" collapsed="false">
      <c r="A106" s="10" t="str">
        <f aca="false">IF(B106="","",ROW()-2)</f>
        <v/>
      </c>
      <c r="B106" s="11"/>
      <c r="C106" s="11"/>
      <c r="D106" s="11"/>
      <c r="E106" s="11"/>
      <c r="F106" s="11"/>
      <c r="G106" s="11"/>
      <c r="H106" s="10" t="str">
        <f aca="false">IF(G106="","",IFERROR(INDEX('اندیکاسیون‌ها'!$C$3:$C$22,MATCH(G106,'اندیکاسیون‌ها'!$A$3:$A$22,0)),"کد نامعتبر"))</f>
        <v/>
      </c>
      <c r="I106" s="10" t="str">
        <f aca="false">IF(G106="","",IFERROR(INDEX('اندیکاسیون‌ها'!$B$3:$B$22,MATCH(G106,'اندیکاسیون‌ها'!$A$3:$A$22,0)),""))</f>
        <v/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0" t="str">
        <f aca="false">IF(G106="","",IFERROR(INDEX('اندیکاسیون‌ها'!$F$3:$F$22,MATCH(G106,'اندیکاسیون‌ها'!$A$3:$A$22,0)),""))</f>
        <v/>
      </c>
      <c r="V106" s="11"/>
      <c r="W106" s="12"/>
      <c r="X106" s="10" t="str">
        <f aca="false">IF(OR(B106="",IF(V106&lt;&gt;"",V106,U106)=""),"",MAX(0,N(R106)-N(T106)-IF(V106&lt;&gt;"",V106,U106)))</f>
        <v/>
      </c>
      <c r="Y106" s="10" t="str">
        <f aca="false">IF(B106="","",N(R106)-N(S106)-N(T106))</f>
        <v/>
      </c>
      <c r="Z106" s="10" t="str">
        <f aca="false">IF(B106="","",IF(OR(G106="",G106="U0"),"اندیکاسیون نامشخص",IF(I106="بدون اندیکاسیون","بدون اندیکاسیون",IF(AND(I106="خارج از جدول",P106&lt;&gt;"بله"),"خارج از جدول بدون تأیید",IF(L106&lt;&gt;"بله","معیار مستند نشده",IF(N(X106)&gt;0,"مطابق، دوز مازاد","مطابق"))))))</f>
        <v/>
      </c>
      <c r="AA106" s="13" t="str">
        <f aca="false">IF(B106="","",IFERROR(COUNTIF(J106:Q106,"بله")/(COUNTIF(J106:Q106,"بله")+COUNTIF(J106:Q106,"خیر")),""))</f>
        <v/>
      </c>
      <c r="AB106" s="14" t="str">
        <f aca="false">IF(B106="","",IF(Z106="مطابق",0,IF(Z106="مطابق، دوز مازاد",N(X106)*N(W106),(N(R106)-N(T106))*N(W106))))</f>
        <v/>
      </c>
      <c r="AC106" s="12"/>
      <c r="AD106" s="12"/>
      <c r="AE106" s="10" t="str">
        <f aca="false">IF(B106="","",IF(AND(N(AC106)&gt;0,NOT(OR(Z106="مطابق",Z106="مطابق، دوز مازاد"))),"ریسک کسورات",IF(AND(OR(Z106="مطابق",Z106="مطابق، دوز مازاد"),N(AC106)=0,D106&lt;&gt;"آزاد",D106&lt;&gt;""),"بررسی امکان دریافت از بیمه","")))</f>
        <v/>
      </c>
      <c r="AF106" s="11"/>
    </row>
    <row r="107" customFormat="false" ht="15" hidden="false" customHeight="false" outlineLevel="0" collapsed="false">
      <c r="A107" s="10" t="str">
        <f aca="false">IF(B107="","",ROW()-2)</f>
        <v/>
      </c>
      <c r="B107" s="11"/>
      <c r="C107" s="11"/>
      <c r="D107" s="11"/>
      <c r="E107" s="11"/>
      <c r="F107" s="11"/>
      <c r="G107" s="11"/>
      <c r="H107" s="10" t="str">
        <f aca="false">IF(G107="","",IFERROR(INDEX('اندیکاسیون‌ها'!$C$3:$C$22,MATCH(G107,'اندیکاسیون‌ها'!$A$3:$A$22,0)),"کد نامعتبر"))</f>
        <v/>
      </c>
      <c r="I107" s="10" t="str">
        <f aca="false">IF(G107="","",IFERROR(INDEX('اندیکاسیون‌ها'!$B$3:$B$22,MATCH(G107,'اندیکاسیون‌ها'!$A$3:$A$22,0)),""))</f>
        <v/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0" t="str">
        <f aca="false">IF(G107="","",IFERROR(INDEX('اندیکاسیون‌ها'!$F$3:$F$22,MATCH(G107,'اندیکاسیون‌ها'!$A$3:$A$22,0)),""))</f>
        <v/>
      </c>
      <c r="V107" s="11"/>
      <c r="W107" s="12"/>
      <c r="X107" s="10" t="str">
        <f aca="false">IF(OR(B107="",IF(V107&lt;&gt;"",V107,U107)=""),"",MAX(0,N(R107)-N(T107)-IF(V107&lt;&gt;"",V107,U107)))</f>
        <v/>
      </c>
      <c r="Y107" s="10" t="str">
        <f aca="false">IF(B107="","",N(R107)-N(S107)-N(T107))</f>
        <v/>
      </c>
      <c r="Z107" s="10" t="str">
        <f aca="false">IF(B107="","",IF(OR(G107="",G107="U0"),"اندیکاسیون نامشخص",IF(I107="بدون اندیکاسیون","بدون اندیکاسیون",IF(AND(I107="خارج از جدول",P107&lt;&gt;"بله"),"خارج از جدول بدون تأیید",IF(L107&lt;&gt;"بله","معیار مستند نشده",IF(N(X107)&gt;0,"مطابق، دوز مازاد","مطابق"))))))</f>
        <v/>
      </c>
      <c r="AA107" s="13" t="str">
        <f aca="false">IF(B107="","",IFERROR(COUNTIF(J107:Q107,"بله")/(COUNTIF(J107:Q107,"بله")+COUNTIF(J107:Q107,"خیر")),""))</f>
        <v/>
      </c>
      <c r="AB107" s="14" t="str">
        <f aca="false">IF(B107="","",IF(Z107="مطابق",0,IF(Z107="مطابق، دوز مازاد",N(X107)*N(W107),(N(R107)-N(T107))*N(W107))))</f>
        <v/>
      </c>
      <c r="AC107" s="12"/>
      <c r="AD107" s="12"/>
      <c r="AE107" s="10" t="str">
        <f aca="false">IF(B107="","",IF(AND(N(AC107)&gt;0,NOT(OR(Z107="مطابق",Z107="مطابق، دوز مازاد"))),"ریسک کسورات",IF(AND(OR(Z107="مطابق",Z107="مطابق، دوز مازاد"),N(AC107)=0,D107&lt;&gt;"آزاد",D107&lt;&gt;""),"بررسی امکان دریافت از بیمه","")))</f>
        <v/>
      </c>
      <c r="AF107" s="11"/>
    </row>
    <row r="108" customFormat="false" ht="15" hidden="false" customHeight="false" outlineLevel="0" collapsed="false">
      <c r="A108" s="10" t="str">
        <f aca="false">IF(B108="","",ROW()-2)</f>
        <v/>
      </c>
      <c r="B108" s="11"/>
      <c r="C108" s="11"/>
      <c r="D108" s="11"/>
      <c r="E108" s="11"/>
      <c r="F108" s="11"/>
      <c r="G108" s="11"/>
      <c r="H108" s="10" t="str">
        <f aca="false">IF(G108="","",IFERROR(INDEX('اندیکاسیون‌ها'!$C$3:$C$22,MATCH(G108,'اندیکاسیون‌ها'!$A$3:$A$22,0)),"کد نامعتبر"))</f>
        <v/>
      </c>
      <c r="I108" s="10" t="str">
        <f aca="false">IF(G108="","",IFERROR(INDEX('اندیکاسیون‌ها'!$B$3:$B$22,MATCH(G108,'اندیکاسیون‌ها'!$A$3:$A$22,0)),""))</f>
        <v/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0" t="str">
        <f aca="false">IF(G108="","",IFERROR(INDEX('اندیکاسیون‌ها'!$F$3:$F$22,MATCH(G108,'اندیکاسیون‌ها'!$A$3:$A$22,0)),""))</f>
        <v/>
      </c>
      <c r="V108" s="11"/>
      <c r="W108" s="12"/>
      <c r="X108" s="10" t="str">
        <f aca="false">IF(OR(B108="",IF(V108&lt;&gt;"",V108,U108)=""),"",MAX(0,N(R108)-N(T108)-IF(V108&lt;&gt;"",V108,U108)))</f>
        <v/>
      </c>
      <c r="Y108" s="10" t="str">
        <f aca="false">IF(B108="","",N(R108)-N(S108)-N(T108))</f>
        <v/>
      </c>
      <c r="Z108" s="10" t="str">
        <f aca="false">IF(B108="","",IF(OR(G108="",G108="U0"),"اندیکاسیون نامشخص",IF(I108="بدون اندیکاسیون","بدون اندیکاسیون",IF(AND(I108="خارج از جدول",P108&lt;&gt;"بله"),"خارج از جدول بدون تأیید",IF(L108&lt;&gt;"بله","معیار مستند نشده",IF(N(X108)&gt;0,"مطابق، دوز مازاد","مطابق"))))))</f>
        <v/>
      </c>
      <c r="AA108" s="13" t="str">
        <f aca="false">IF(B108="","",IFERROR(COUNTIF(J108:Q108,"بله")/(COUNTIF(J108:Q108,"بله")+COUNTIF(J108:Q108,"خیر")),""))</f>
        <v/>
      </c>
      <c r="AB108" s="14" t="str">
        <f aca="false">IF(B108="","",IF(Z108="مطابق",0,IF(Z108="مطابق، دوز مازاد",N(X108)*N(W108),(N(R108)-N(T108))*N(W108))))</f>
        <v/>
      </c>
      <c r="AC108" s="12"/>
      <c r="AD108" s="12"/>
      <c r="AE108" s="10" t="str">
        <f aca="false">IF(B108="","",IF(AND(N(AC108)&gt;0,NOT(OR(Z108="مطابق",Z108="مطابق، دوز مازاد"))),"ریسک کسورات",IF(AND(OR(Z108="مطابق",Z108="مطابق، دوز مازاد"),N(AC108)=0,D108&lt;&gt;"آزاد",D108&lt;&gt;""),"بررسی امکان دریافت از بیمه","")))</f>
        <v/>
      </c>
      <c r="AF108" s="11"/>
    </row>
    <row r="109" customFormat="false" ht="15" hidden="false" customHeight="false" outlineLevel="0" collapsed="false">
      <c r="A109" s="10" t="str">
        <f aca="false">IF(B109="","",ROW()-2)</f>
        <v/>
      </c>
      <c r="B109" s="11"/>
      <c r="C109" s="11"/>
      <c r="D109" s="11"/>
      <c r="E109" s="11"/>
      <c r="F109" s="11"/>
      <c r="G109" s="11"/>
      <c r="H109" s="10" t="str">
        <f aca="false">IF(G109="","",IFERROR(INDEX('اندیکاسیون‌ها'!$C$3:$C$22,MATCH(G109,'اندیکاسیون‌ها'!$A$3:$A$22,0)),"کد نامعتبر"))</f>
        <v/>
      </c>
      <c r="I109" s="10" t="str">
        <f aca="false">IF(G109="","",IFERROR(INDEX('اندیکاسیون‌ها'!$B$3:$B$22,MATCH(G109,'اندیکاسیون‌ها'!$A$3:$A$22,0)),""))</f>
        <v/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0" t="str">
        <f aca="false">IF(G109="","",IFERROR(INDEX('اندیکاسیون‌ها'!$F$3:$F$22,MATCH(G109,'اندیکاسیون‌ها'!$A$3:$A$22,0)),""))</f>
        <v/>
      </c>
      <c r="V109" s="11"/>
      <c r="W109" s="12"/>
      <c r="X109" s="10" t="str">
        <f aca="false">IF(OR(B109="",IF(V109&lt;&gt;"",V109,U109)=""),"",MAX(0,N(R109)-N(T109)-IF(V109&lt;&gt;"",V109,U109)))</f>
        <v/>
      </c>
      <c r="Y109" s="10" t="str">
        <f aca="false">IF(B109="","",N(R109)-N(S109)-N(T109))</f>
        <v/>
      </c>
      <c r="Z109" s="10" t="str">
        <f aca="false">IF(B109="","",IF(OR(G109="",G109="U0"),"اندیکاسیون نامشخص",IF(I109="بدون اندیکاسیون","بدون اندیکاسیون",IF(AND(I109="خارج از جدول",P109&lt;&gt;"بله"),"خارج از جدول بدون تأیید",IF(L109&lt;&gt;"بله","معیار مستند نشده",IF(N(X109)&gt;0,"مطابق، دوز مازاد","مطابق"))))))</f>
        <v/>
      </c>
      <c r="AA109" s="13" t="str">
        <f aca="false">IF(B109="","",IFERROR(COUNTIF(J109:Q109,"بله")/(COUNTIF(J109:Q109,"بله")+COUNTIF(J109:Q109,"خیر")),""))</f>
        <v/>
      </c>
      <c r="AB109" s="14" t="str">
        <f aca="false">IF(B109="","",IF(Z109="مطابق",0,IF(Z109="مطابق، دوز مازاد",N(X109)*N(W109),(N(R109)-N(T109))*N(W109))))</f>
        <v/>
      </c>
      <c r="AC109" s="12"/>
      <c r="AD109" s="12"/>
      <c r="AE109" s="10" t="str">
        <f aca="false">IF(B109="","",IF(AND(N(AC109)&gt;0,NOT(OR(Z109="مطابق",Z109="مطابق، دوز مازاد"))),"ریسک کسورات",IF(AND(OR(Z109="مطابق",Z109="مطابق، دوز مازاد"),N(AC109)=0,D109&lt;&gt;"آزاد",D109&lt;&gt;""),"بررسی امکان دریافت از بیمه","")))</f>
        <v/>
      </c>
      <c r="AF109" s="11"/>
    </row>
    <row r="110" customFormat="false" ht="15" hidden="false" customHeight="false" outlineLevel="0" collapsed="false">
      <c r="A110" s="10" t="str">
        <f aca="false">IF(B110="","",ROW()-2)</f>
        <v/>
      </c>
      <c r="B110" s="11"/>
      <c r="C110" s="11"/>
      <c r="D110" s="11"/>
      <c r="E110" s="11"/>
      <c r="F110" s="11"/>
      <c r="G110" s="11"/>
      <c r="H110" s="10" t="str">
        <f aca="false">IF(G110="","",IFERROR(INDEX('اندیکاسیون‌ها'!$C$3:$C$22,MATCH(G110,'اندیکاسیون‌ها'!$A$3:$A$22,0)),"کد نامعتبر"))</f>
        <v/>
      </c>
      <c r="I110" s="10" t="str">
        <f aca="false">IF(G110="","",IFERROR(INDEX('اندیکاسیون‌ها'!$B$3:$B$22,MATCH(G110,'اندیکاسیون‌ها'!$A$3:$A$22,0)),""))</f>
        <v/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0" t="str">
        <f aca="false">IF(G110="","",IFERROR(INDEX('اندیکاسیون‌ها'!$F$3:$F$22,MATCH(G110,'اندیکاسیون‌ها'!$A$3:$A$22,0)),""))</f>
        <v/>
      </c>
      <c r="V110" s="11"/>
      <c r="W110" s="12"/>
      <c r="X110" s="10" t="str">
        <f aca="false">IF(OR(B110="",IF(V110&lt;&gt;"",V110,U110)=""),"",MAX(0,N(R110)-N(T110)-IF(V110&lt;&gt;"",V110,U110)))</f>
        <v/>
      </c>
      <c r="Y110" s="10" t="str">
        <f aca="false">IF(B110="","",N(R110)-N(S110)-N(T110))</f>
        <v/>
      </c>
      <c r="Z110" s="10" t="str">
        <f aca="false">IF(B110="","",IF(OR(G110="",G110="U0"),"اندیکاسیون نامشخص",IF(I110="بدون اندیکاسیون","بدون اندیکاسیون",IF(AND(I110="خارج از جدول",P110&lt;&gt;"بله"),"خارج از جدول بدون تأیید",IF(L110&lt;&gt;"بله","معیار مستند نشده",IF(N(X110)&gt;0,"مطابق، دوز مازاد","مطابق"))))))</f>
        <v/>
      </c>
      <c r="AA110" s="13" t="str">
        <f aca="false">IF(B110="","",IFERROR(COUNTIF(J110:Q110,"بله")/(COUNTIF(J110:Q110,"بله")+COUNTIF(J110:Q110,"خیر")),""))</f>
        <v/>
      </c>
      <c r="AB110" s="14" t="str">
        <f aca="false">IF(B110="","",IF(Z110="مطابق",0,IF(Z110="مطابق، دوز مازاد",N(X110)*N(W110),(N(R110)-N(T110))*N(W110))))</f>
        <v/>
      </c>
      <c r="AC110" s="12"/>
      <c r="AD110" s="12"/>
      <c r="AE110" s="10" t="str">
        <f aca="false">IF(B110="","",IF(AND(N(AC110)&gt;0,NOT(OR(Z110="مطابق",Z110="مطابق، دوز مازاد"))),"ریسک کسورات",IF(AND(OR(Z110="مطابق",Z110="مطابق، دوز مازاد"),N(AC110)=0,D110&lt;&gt;"آزاد",D110&lt;&gt;""),"بررسی امکان دریافت از بیمه","")))</f>
        <v/>
      </c>
      <c r="AF110" s="11"/>
    </row>
    <row r="111" customFormat="false" ht="15" hidden="false" customHeight="false" outlineLevel="0" collapsed="false">
      <c r="A111" s="10" t="str">
        <f aca="false">IF(B111="","",ROW()-2)</f>
        <v/>
      </c>
      <c r="B111" s="11"/>
      <c r="C111" s="11"/>
      <c r="D111" s="11"/>
      <c r="E111" s="11"/>
      <c r="F111" s="11"/>
      <c r="G111" s="11"/>
      <c r="H111" s="10" t="str">
        <f aca="false">IF(G111="","",IFERROR(INDEX('اندیکاسیون‌ها'!$C$3:$C$22,MATCH(G111,'اندیکاسیون‌ها'!$A$3:$A$22,0)),"کد نامعتبر"))</f>
        <v/>
      </c>
      <c r="I111" s="10" t="str">
        <f aca="false">IF(G111="","",IFERROR(INDEX('اندیکاسیون‌ها'!$B$3:$B$22,MATCH(G111,'اندیکاسیون‌ها'!$A$3:$A$22,0)),""))</f>
        <v/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0" t="str">
        <f aca="false">IF(G111="","",IFERROR(INDEX('اندیکاسیون‌ها'!$F$3:$F$22,MATCH(G111,'اندیکاسیون‌ها'!$A$3:$A$22,0)),""))</f>
        <v/>
      </c>
      <c r="V111" s="11"/>
      <c r="W111" s="12"/>
      <c r="X111" s="10" t="str">
        <f aca="false">IF(OR(B111="",IF(V111&lt;&gt;"",V111,U111)=""),"",MAX(0,N(R111)-N(T111)-IF(V111&lt;&gt;"",V111,U111)))</f>
        <v/>
      </c>
      <c r="Y111" s="10" t="str">
        <f aca="false">IF(B111="","",N(R111)-N(S111)-N(T111))</f>
        <v/>
      </c>
      <c r="Z111" s="10" t="str">
        <f aca="false">IF(B111="","",IF(OR(G111="",G111="U0"),"اندیکاسیون نامشخص",IF(I111="بدون اندیکاسیون","بدون اندیکاسیون",IF(AND(I111="خارج از جدول",P111&lt;&gt;"بله"),"خارج از جدول بدون تأیید",IF(L111&lt;&gt;"بله","معیار مستند نشده",IF(N(X111)&gt;0,"مطابق، دوز مازاد","مطابق"))))))</f>
        <v/>
      </c>
      <c r="AA111" s="13" t="str">
        <f aca="false">IF(B111="","",IFERROR(COUNTIF(J111:Q111,"بله")/(COUNTIF(J111:Q111,"بله")+COUNTIF(J111:Q111,"خیر")),""))</f>
        <v/>
      </c>
      <c r="AB111" s="14" t="str">
        <f aca="false">IF(B111="","",IF(Z111="مطابق",0,IF(Z111="مطابق، دوز مازاد",N(X111)*N(W111),(N(R111)-N(T111))*N(W111))))</f>
        <v/>
      </c>
      <c r="AC111" s="12"/>
      <c r="AD111" s="12"/>
      <c r="AE111" s="10" t="str">
        <f aca="false">IF(B111="","",IF(AND(N(AC111)&gt;0,NOT(OR(Z111="مطابق",Z111="مطابق، دوز مازاد"))),"ریسک کسورات",IF(AND(OR(Z111="مطابق",Z111="مطابق، دوز مازاد"),N(AC111)=0,D111&lt;&gt;"آزاد",D111&lt;&gt;""),"بررسی امکان دریافت از بیمه","")))</f>
        <v/>
      </c>
      <c r="AF111" s="11"/>
    </row>
    <row r="112" customFormat="false" ht="15" hidden="false" customHeight="false" outlineLevel="0" collapsed="false">
      <c r="A112" s="10" t="str">
        <f aca="false">IF(B112="","",ROW()-2)</f>
        <v/>
      </c>
      <c r="B112" s="11"/>
      <c r="C112" s="11"/>
      <c r="D112" s="11"/>
      <c r="E112" s="11"/>
      <c r="F112" s="11"/>
      <c r="G112" s="11"/>
      <c r="H112" s="10" t="str">
        <f aca="false">IF(G112="","",IFERROR(INDEX('اندیکاسیون‌ها'!$C$3:$C$22,MATCH(G112,'اندیکاسیون‌ها'!$A$3:$A$22,0)),"کد نامعتبر"))</f>
        <v/>
      </c>
      <c r="I112" s="10" t="str">
        <f aca="false">IF(G112="","",IFERROR(INDEX('اندیکاسیون‌ها'!$B$3:$B$22,MATCH(G112,'اندیکاسیون‌ها'!$A$3:$A$22,0)),""))</f>
        <v/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0" t="str">
        <f aca="false">IF(G112="","",IFERROR(INDEX('اندیکاسیون‌ها'!$F$3:$F$22,MATCH(G112,'اندیکاسیون‌ها'!$A$3:$A$22,0)),""))</f>
        <v/>
      </c>
      <c r="V112" s="11"/>
      <c r="W112" s="12"/>
      <c r="X112" s="10" t="str">
        <f aca="false">IF(OR(B112="",IF(V112&lt;&gt;"",V112,U112)=""),"",MAX(0,N(R112)-N(T112)-IF(V112&lt;&gt;"",V112,U112)))</f>
        <v/>
      </c>
      <c r="Y112" s="10" t="str">
        <f aca="false">IF(B112="","",N(R112)-N(S112)-N(T112))</f>
        <v/>
      </c>
      <c r="Z112" s="10" t="str">
        <f aca="false">IF(B112="","",IF(OR(G112="",G112="U0"),"اندیکاسیون نامشخص",IF(I112="بدون اندیکاسیون","بدون اندیکاسیون",IF(AND(I112="خارج از جدول",P112&lt;&gt;"بله"),"خارج از جدول بدون تأیید",IF(L112&lt;&gt;"بله","معیار مستند نشده",IF(N(X112)&gt;0,"مطابق، دوز مازاد","مطابق"))))))</f>
        <v/>
      </c>
      <c r="AA112" s="13" t="str">
        <f aca="false">IF(B112="","",IFERROR(COUNTIF(J112:Q112,"بله")/(COUNTIF(J112:Q112,"بله")+COUNTIF(J112:Q112,"خیر")),""))</f>
        <v/>
      </c>
      <c r="AB112" s="14" t="str">
        <f aca="false">IF(B112="","",IF(Z112="مطابق",0,IF(Z112="مطابق، دوز مازاد",N(X112)*N(W112),(N(R112)-N(T112))*N(W112))))</f>
        <v/>
      </c>
      <c r="AC112" s="12"/>
      <c r="AD112" s="12"/>
      <c r="AE112" s="10" t="str">
        <f aca="false">IF(B112="","",IF(AND(N(AC112)&gt;0,NOT(OR(Z112="مطابق",Z112="مطابق، دوز مازاد"))),"ریسک کسورات",IF(AND(OR(Z112="مطابق",Z112="مطابق، دوز مازاد"),N(AC112)=0,D112&lt;&gt;"آزاد",D112&lt;&gt;""),"بررسی امکان دریافت از بیمه","")))</f>
        <v/>
      </c>
      <c r="AF112" s="11"/>
    </row>
    <row r="113" customFormat="false" ht="15" hidden="false" customHeight="false" outlineLevel="0" collapsed="false">
      <c r="A113" s="10" t="str">
        <f aca="false">IF(B113="","",ROW()-2)</f>
        <v/>
      </c>
      <c r="B113" s="11"/>
      <c r="C113" s="11"/>
      <c r="D113" s="11"/>
      <c r="E113" s="11"/>
      <c r="F113" s="11"/>
      <c r="G113" s="11"/>
      <c r="H113" s="10" t="str">
        <f aca="false">IF(G113="","",IFERROR(INDEX('اندیکاسیون‌ها'!$C$3:$C$22,MATCH(G113,'اندیکاسیون‌ها'!$A$3:$A$22,0)),"کد نامعتبر"))</f>
        <v/>
      </c>
      <c r="I113" s="10" t="str">
        <f aca="false">IF(G113="","",IFERROR(INDEX('اندیکاسیون‌ها'!$B$3:$B$22,MATCH(G113,'اندیکاسیون‌ها'!$A$3:$A$22,0)),""))</f>
        <v/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0" t="str">
        <f aca="false">IF(G113="","",IFERROR(INDEX('اندیکاسیون‌ها'!$F$3:$F$22,MATCH(G113,'اندیکاسیون‌ها'!$A$3:$A$22,0)),""))</f>
        <v/>
      </c>
      <c r="V113" s="11"/>
      <c r="W113" s="12"/>
      <c r="X113" s="10" t="str">
        <f aca="false">IF(OR(B113="",IF(V113&lt;&gt;"",V113,U113)=""),"",MAX(0,N(R113)-N(T113)-IF(V113&lt;&gt;"",V113,U113)))</f>
        <v/>
      </c>
      <c r="Y113" s="10" t="str">
        <f aca="false">IF(B113="","",N(R113)-N(S113)-N(T113))</f>
        <v/>
      </c>
      <c r="Z113" s="10" t="str">
        <f aca="false">IF(B113="","",IF(OR(G113="",G113="U0"),"اندیکاسیون نامشخص",IF(I113="بدون اندیکاسیون","بدون اندیکاسیون",IF(AND(I113="خارج از جدول",P113&lt;&gt;"بله"),"خارج از جدول بدون تأیید",IF(L113&lt;&gt;"بله","معیار مستند نشده",IF(N(X113)&gt;0,"مطابق، دوز مازاد","مطابق"))))))</f>
        <v/>
      </c>
      <c r="AA113" s="13" t="str">
        <f aca="false">IF(B113="","",IFERROR(COUNTIF(J113:Q113,"بله")/(COUNTIF(J113:Q113,"بله")+COUNTIF(J113:Q113,"خیر")),""))</f>
        <v/>
      </c>
      <c r="AB113" s="14" t="str">
        <f aca="false">IF(B113="","",IF(Z113="مطابق",0,IF(Z113="مطابق، دوز مازاد",N(X113)*N(W113),(N(R113)-N(T113))*N(W113))))</f>
        <v/>
      </c>
      <c r="AC113" s="12"/>
      <c r="AD113" s="12"/>
      <c r="AE113" s="10" t="str">
        <f aca="false">IF(B113="","",IF(AND(N(AC113)&gt;0,NOT(OR(Z113="مطابق",Z113="مطابق، دوز مازاد"))),"ریسک کسورات",IF(AND(OR(Z113="مطابق",Z113="مطابق، دوز مازاد"),N(AC113)=0,D113&lt;&gt;"آزاد",D113&lt;&gt;""),"بررسی امکان دریافت از بیمه","")))</f>
        <v/>
      </c>
      <c r="AF113" s="11"/>
    </row>
    <row r="114" customFormat="false" ht="15" hidden="false" customHeight="false" outlineLevel="0" collapsed="false">
      <c r="A114" s="10" t="str">
        <f aca="false">IF(B114="","",ROW()-2)</f>
        <v/>
      </c>
      <c r="B114" s="11"/>
      <c r="C114" s="11"/>
      <c r="D114" s="11"/>
      <c r="E114" s="11"/>
      <c r="F114" s="11"/>
      <c r="G114" s="11"/>
      <c r="H114" s="10" t="str">
        <f aca="false">IF(G114="","",IFERROR(INDEX('اندیکاسیون‌ها'!$C$3:$C$22,MATCH(G114,'اندیکاسیون‌ها'!$A$3:$A$22,0)),"کد نامعتبر"))</f>
        <v/>
      </c>
      <c r="I114" s="10" t="str">
        <f aca="false">IF(G114="","",IFERROR(INDEX('اندیکاسیون‌ها'!$B$3:$B$22,MATCH(G114,'اندیکاسیون‌ها'!$A$3:$A$22,0)),""))</f>
        <v/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0" t="str">
        <f aca="false">IF(G114="","",IFERROR(INDEX('اندیکاسیون‌ها'!$F$3:$F$22,MATCH(G114,'اندیکاسیون‌ها'!$A$3:$A$22,0)),""))</f>
        <v/>
      </c>
      <c r="V114" s="11"/>
      <c r="W114" s="12"/>
      <c r="X114" s="10" t="str">
        <f aca="false">IF(OR(B114="",IF(V114&lt;&gt;"",V114,U114)=""),"",MAX(0,N(R114)-N(T114)-IF(V114&lt;&gt;"",V114,U114)))</f>
        <v/>
      </c>
      <c r="Y114" s="10" t="str">
        <f aca="false">IF(B114="","",N(R114)-N(S114)-N(T114))</f>
        <v/>
      </c>
      <c r="Z114" s="10" t="str">
        <f aca="false">IF(B114="","",IF(OR(G114="",G114="U0"),"اندیکاسیون نامشخص",IF(I114="بدون اندیکاسیون","بدون اندیکاسیون",IF(AND(I114="خارج از جدول",P114&lt;&gt;"بله"),"خارج از جدول بدون تأیید",IF(L114&lt;&gt;"بله","معیار مستند نشده",IF(N(X114)&gt;0,"مطابق، دوز مازاد","مطابق"))))))</f>
        <v/>
      </c>
      <c r="AA114" s="13" t="str">
        <f aca="false">IF(B114="","",IFERROR(COUNTIF(J114:Q114,"بله")/(COUNTIF(J114:Q114,"بله")+COUNTIF(J114:Q114,"خیر")),""))</f>
        <v/>
      </c>
      <c r="AB114" s="14" t="str">
        <f aca="false">IF(B114="","",IF(Z114="مطابق",0,IF(Z114="مطابق، دوز مازاد",N(X114)*N(W114),(N(R114)-N(T114))*N(W114))))</f>
        <v/>
      </c>
      <c r="AC114" s="12"/>
      <c r="AD114" s="12"/>
      <c r="AE114" s="10" t="str">
        <f aca="false">IF(B114="","",IF(AND(N(AC114)&gt;0,NOT(OR(Z114="مطابق",Z114="مطابق، دوز مازاد"))),"ریسک کسورات",IF(AND(OR(Z114="مطابق",Z114="مطابق، دوز مازاد"),N(AC114)=0,D114&lt;&gt;"آزاد",D114&lt;&gt;""),"بررسی امکان دریافت از بیمه","")))</f>
        <v/>
      </c>
      <c r="AF114" s="11"/>
    </row>
    <row r="115" customFormat="false" ht="15" hidden="false" customHeight="false" outlineLevel="0" collapsed="false">
      <c r="A115" s="10" t="str">
        <f aca="false">IF(B115="","",ROW()-2)</f>
        <v/>
      </c>
      <c r="B115" s="11"/>
      <c r="C115" s="11"/>
      <c r="D115" s="11"/>
      <c r="E115" s="11"/>
      <c r="F115" s="11"/>
      <c r="G115" s="11"/>
      <c r="H115" s="10" t="str">
        <f aca="false">IF(G115="","",IFERROR(INDEX('اندیکاسیون‌ها'!$C$3:$C$22,MATCH(G115,'اندیکاسیون‌ها'!$A$3:$A$22,0)),"کد نامعتبر"))</f>
        <v/>
      </c>
      <c r="I115" s="10" t="str">
        <f aca="false">IF(G115="","",IFERROR(INDEX('اندیکاسیون‌ها'!$B$3:$B$22,MATCH(G115,'اندیکاسیون‌ها'!$A$3:$A$22,0)),""))</f>
        <v/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0" t="str">
        <f aca="false">IF(G115="","",IFERROR(INDEX('اندیکاسیون‌ها'!$F$3:$F$22,MATCH(G115,'اندیکاسیون‌ها'!$A$3:$A$22,0)),""))</f>
        <v/>
      </c>
      <c r="V115" s="11"/>
      <c r="W115" s="12"/>
      <c r="X115" s="10" t="str">
        <f aca="false">IF(OR(B115="",IF(V115&lt;&gt;"",V115,U115)=""),"",MAX(0,N(R115)-N(T115)-IF(V115&lt;&gt;"",V115,U115)))</f>
        <v/>
      </c>
      <c r="Y115" s="10" t="str">
        <f aca="false">IF(B115="","",N(R115)-N(S115)-N(T115))</f>
        <v/>
      </c>
      <c r="Z115" s="10" t="str">
        <f aca="false">IF(B115="","",IF(OR(G115="",G115="U0"),"اندیکاسیون نامشخص",IF(I115="بدون اندیکاسیون","بدون اندیکاسیون",IF(AND(I115="خارج از جدول",P115&lt;&gt;"بله"),"خارج از جدول بدون تأیید",IF(L115&lt;&gt;"بله","معیار مستند نشده",IF(N(X115)&gt;0,"مطابق، دوز مازاد","مطابق"))))))</f>
        <v/>
      </c>
      <c r="AA115" s="13" t="str">
        <f aca="false">IF(B115="","",IFERROR(COUNTIF(J115:Q115,"بله")/(COUNTIF(J115:Q115,"بله")+COUNTIF(J115:Q115,"خیر")),""))</f>
        <v/>
      </c>
      <c r="AB115" s="14" t="str">
        <f aca="false">IF(B115="","",IF(Z115="مطابق",0,IF(Z115="مطابق، دوز مازاد",N(X115)*N(W115),(N(R115)-N(T115))*N(W115))))</f>
        <v/>
      </c>
      <c r="AC115" s="12"/>
      <c r="AD115" s="12"/>
      <c r="AE115" s="10" t="str">
        <f aca="false">IF(B115="","",IF(AND(N(AC115)&gt;0,NOT(OR(Z115="مطابق",Z115="مطابق، دوز مازاد"))),"ریسک کسورات",IF(AND(OR(Z115="مطابق",Z115="مطابق، دوز مازاد"),N(AC115)=0,D115&lt;&gt;"آزاد",D115&lt;&gt;""),"بررسی امکان دریافت از بیمه","")))</f>
        <v/>
      </c>
      <c r="AF115" s="11"/>
    </row>
    <row r="116" customFormat="false" ht="15" hidden="false" customHeight="false" outlineLevel="0" collapsed="false">
      <c r="A116" s="10" t="str">
        <f aca="false">IF(B116="","",ROW()-2)</f>
        <v/>
      </c>
      <c r="B116" s="11"/>
      <c r="C116" s="11"/>
      <c r="D116" s="11"/>
      <c r="E116" s="11"/>
      <c r="F116" s="11"/>
      <c r="G116" s="11"/>
      <c r="H116" s="10" t="str">
        <f aca="false">IF(G116="","",IFERROR(INDEX('اندیکاسیون‌ها'!$C$3:$C$22,MATCH(G116,'اندیکاسیون‌ها'!$A$3:$A$22,0)),"کد نامعتبر"))</f>
        <v/>
      </c>
      <c r="I116" s="10" t="str">
        <f aca="false">IF(G116="","",IFERROR(INDEX('اندیکاسیون‌ها'!$B$3:$B$22,MATCH(G116,'اندیکاسیون‌ها'!$A$3:$A$22,0)),""))</f>
        <v/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0" t="str">
        <f aca="false">IF(G116="","",IFERROR(INDEX('اندیکاسیون‌ها'!$F$3:$F$22,MATCH(G116,'اندیکاسیون‌ها'!$A$3:$A$22,0)),""))</f>
        <v/>
      </c>
      <c r="V116" s="11"/>
      <c r="W116" s="12"/>
      <c r="X116" s="10" t="str">
        <f aca="false">IF(OR(B116="",IF(V116&lt;&gt;"",V116,U116)=""),"",MAX(0,N(R116)-N(T116)-IF(V116&lt;&gt;"",V116,U116)))</f>
        <v/>
      </c>
      <c r="Y116" s="10" t="str">
        <f aca="false">IF(B116="","",N(R116)-N(S116)-N(T116))</f>
        <v/>
      </c>
      <c r="Z116" s="10" t="str">
        <f aca="false">IF(B116="","",IF(OR(G116="",G116="U0"),"اندیکاسیون نامشخص",IF(I116="بدون اندیکاسیون","بدون اندیکاسیون",IF(AND(I116="خارج از جدول",P116&lt;&gt;"بله"),"خارج از جدول بدون تأیید",IF(L116&lt;&gt;"بله","معیار مستند نشده",IF(N(X116)&gt;0,"مطابق، دوز مازاد","مطابق"))))))</f>
        <v/>
      </c>
      <c r="AA116" s="13" t="str">
        <f aca="false">IF(B116="","",IFERROR(COUNTIF(J116:Q116,"بله")/(COUNTIF(J116:Q116,"بله")+COUNTIF(J116:Q116,"خیر")),""))</f>
        <v/>
      </c>
      <c r="AB116" s="14" t="str">
        <f aca="false">IF(B116="","",IF(Z116="مطابق",0,IF(Z116="مطابق، دوز مازاد",N(X116)*N(W116),(N(R116)-N(T116))*N(W116))))</f>
        <v/>
      </c>
      <c r="AC116" s="12"/>
      <c r="AD116" s="12"/>
      <c r="AE116" s="10" t="str">
        <f aca="false">IF(B116="","",IF(AND(N(AC116)&gt;0,NOT(OR(Z116="مطابق",Z116="مطابق، دوز مازاد"))),"ریسک کسورات",IF(AND(OR(Z116="مطابق",Z116="مطابق، دوز مازاد"),N(AC116)=0,D116&lt;&gt;"آزاد",D116&lt;&gt;""),"بررسی امکان دریافت از بیمه","")))</f>
        <v/>
      </c>
      <c r="AF116" s="11"/>
    </row>
    <row r="117" customFormat="false" ht="15" hidden="false" customHeight="false" outlineLevel="0" collapsed="false">
      <c r="A117" s="10" t="str">
        <f aca="false">IF(B117="","",ROW()-2)</f>
        <v/>
      </c>
      <c r="B117" s="11"/>
      <c r="C117" s="11"/>
      <c r="D117" s="11"/>
      <c r="E117" s="11"/>
      <c r="F117" s="11"/>
      <c r="G117" s="11"/>
      <c r="H117" s="10" t="str">
        <f aca="false">IF(G117="","",IFERROR(INDEX('اندیکاسیون‌ها'!$C$3:$C$22,MATCH(G117,'اندیکاسیون‌ها'!$A$3:$A$22,0)),"کد نامعتبر"))</f>
        <v/>
      </c>
      <c r="I117" s="10" t="str">
        <f aca="false">IF(G117="","",IFERROR(INDEX('اندیکاسیون‌ها'!$B$3:$B$22,MATCH(G117,'اندیکاسیون‌ها'!$A$3:$A$22,0)),""))</f>
        <v/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0" t="str">
        <f aca="false">IF(G117="","",IFERROR(INDEX('اندیکاسیون‌ها'!$F$3:$F$22,MATCH(G117,'اندیکاسیون‌ها'!$A$3:$A$22,0)),""))</f>
        <v/>
      </c>
      <c r="V117" s="11"/>
      <c r="W117" s="12"/>
      <c r="X117" s="10" t="str">
        <f aca="false">IF(OR(B117="",IF(V117&lt;&gt;"",V117,U117)=""),"",MAX(0,N(R117)-N(T117)-IF(V117&lt;&gt;"",V117,U117)))</f>
        <v/>
      </c>
      <c r="Y117" s="10" t="str">
        <f aca="false">IF(B117="","",N(R117)-N(S117)-N(T117))</f>
        <v/>
      </c>
      <c r="Z117" s="10" t="str">
        <f aca="false">IF(B117="","",IF(OR(G117="",G117="U0"),"اندیکاسیون نامشخص",IF(I117="بدون اندیکاسیون","بدون اندیکاسیون",IF(AND(I117="خارج از جدول",P117&lt;&gt;"بله"),"خارج از جدول بدون تأیید",IF(L117&lt;&gt;"بله","معیار مستند نشده",IF(N(X117)&gt;0,"مطابق، دوز مازاد","مطابق"))))))</f>
        <v/>
      </c>
      <c r="AA117" s="13" t="str">
        <f aca="false">IF(B117="","",IFERROR(COUNTIF(J117:Q117,"بله")/(COUNTIF(J117:Q117,"بله")+COUNTIF(J117:Q117,"خیر")),""))</f>
        <v/>
      </c>
      <c r="AB117" s="14" t="str">
        <f aca="false">IF(B117="","",IF(Z117="مطابق",0,IF(Z117="مطابق، دوز مازاد",N(X117)*N(W117),(N(R117)-N(T117))*N(W117))))</f>
        <v/>
      </c>
      <c r="AC117" s="12"/>
      <c r="AD117" s="12"/>
      <c r="AE117" s="10" t="str">
        <f aca="false">IF(B117="","",IF(AND(N(AC117)&gt;0,NOT(OR(Z117="مطابق",Z117="مطابق، دوز مازاد"))),"ریسک کسورات",IF(AND(OR(Z117="مطابق",Z117="مطابق، دوز مازاد"),N(AC117)=0,D117&lt;&gt;"آزاد",D117&lt;&gt;""),"بررسی امکان دریافت از بیمه","")))</f>
        <v/>
      </c>
      <c r="AF117" s="11"/>
    </row>
    <row r="118" customFormat="false" ht="15" hidden="false" customHeight="false" outlineLevel="0" collapsed="false">
      <c r="A118" s="10" t="str">
        <f aca="false">IF(B118="","",ROW()-2)</f>
        <v/>
      </c>
      <c r="B118" s="11"/>
      <c r="C118" s="11"/>
      <c r="D118" s="11"/>
      <c r="E118" s="11"/>
      <c r="F118" s="11"/>
      <c r="G118" s="11"/>
      <c r="H118" s="10" t="str">
        <f aca="false">IF(G118="","",IFERROR(INDEX('اندیکاسیون‌ها'!$C$3:$C$22,MATCH(G118,'اندیکاسیون‌ها'!$A$3:$A$22,0)),"کد نامعتبر"))</f>
        <v/>
      </c>
      <c r="I118" s="10" t="str">
        <f aca="false">IF(G118="","",IFERROR(INDEX('اندیکاسیون‌ها'!$B$3:$B$22,MATCH(G118,'اندیکاسیون‌ها'!$A$3:$A$22,0)),""))</f>
        <v/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0" t="str">
        <f aca="false">IF(G118="","",IFERROR(INDEX('اندیکاسیون‌ها'!$F$3:$F$22,MATCH(G118,'اندیکاسیون‌ها'!$A$3:$A$22,0)),""))</f>
        <v/>
      </c>
      <c r="V118" s="11"/>
      <c r="W118" s="12"/>
      <c r="X118" s="10" t="str">
        <f aca="false">IF(OR(B118="",IF(V118&lt;&gt;"",V118,U118)=""),"",MAX(0,N(R118)-N(T118)-IF(V118&lt;&gt;"",V118,U118)))</f>
        <v/>
      </c>
      <c r="Y118" s="10" t="str">
        <f aca="false">IF(B118="","",N(R118)-N(S118)-N(T118))</f>
        <v/>
      </c>
      <c r="Z118" s="10" t="str">
        <f aca="false">IF(B118="","",IF(OR(G118="",G118="U0"),"اندیکاسیون نامشخص",IF(I118="بدون اندیکاسیون","بدون اندیکاسیون",IF(AND(I118="خارج از جدول",P118&lt;&gt;"بله"),"خارج از جدول بدون تأیید",IF(L118&lt;&gt;"بله","معیار مستند نشده",IF(N(X118)&gt;0,"مطابق، دوز مازاد","مطابق"))))))</f>
        <v/>
      </c>
      <c r="AA118" s="13" t="str">
        <f aca="false">IF(B118="","",IFERROR(COUNTIF(J118:Q118,"بله")/(COUNTIF(J118:Q118,"بله")+COUNTIF(J118:Q118,"خیر")),""))</f>
        <v/>
      </c>
      <c r="AB118" s="14" t="str">
        <f aca="false">IF(B118="","",IF(Z118="مطابق",0,IF(Z118="مطابق، دوز مازاد",N(X118)*N(W118),(N(R118)-N(T118))*N(W118))))</f>
        <v/>
      </c>
      <c r="AC118" s="12"/>
      <c r="AD118" s="12"/>
      <c r="AE118" s="10" t="str">
        <f aca="false">IF(B118="","",IF(AND(N(AC118)&gt;0,NOT(OR(Z118="مطابق",Z118="مطابق، دوز مازاد"))),"ریسک کسورات",IF(AND(OR(Z118="مطابق",Z118="مطابق، دوز مازاد"),N(AC118)=0,D118&lt;&gt;"آزاد",D118&lt;&gt;""),"بررسی امکان دریافت از بیمه","")))</f>
        <v/>
      </c>
      <c r="AF118" s="11"/>
    </row>
    <row r="119" customFormat="false" ht="15" hidden="false" customHeight="false" outlineLevel="0" collapsed="false">
      <c r="A119" s="10" t="str">
        <f aca="false">IF(B119="","",ROW()-2)</f>
        <v/>
      </c>
      <c r="B119" s="11"/>
      <c r="C119" s="11"/>
      <c r="D119" s="11"/>
      <c r="E119" s="11"/>
      <c r="F119" s="11"/>
      <c r="G119" s="11"/>
      <c r="H119" s="10" t="str">
        <f aca="false">IF(G119="","",IFERROR(INDEX('اندیکاسیون‌ها'!$C$3:$C$22,MATCH(G119,'اندیکاسیون‌ها'!$A$3:$A$22,0)),"کد نامعتبر"))</f>
        <v/>
      </c>
      <c r="I119" s="10" t="str">
        <f aca="false">IF(G119="","",IFERROR(INDEX('اندیکاسیون‌ها'!$B$3:$B$22,MATCH(G119,'اندیکاسیون‌ها'!$A$3:$A$22,0)),""))</f>
        <v/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0" t="str">
        <f aca="false">IF(G119="","",IFERROR(INDEX('اندیکاسیون‌ها'!$F$3:$F$22,MATCH(G119,'اندیکاسیون‌ها'!$A$3:$A$22,0)),""))</f>
        <v/>
      </c>
      <c r="V119" s="11"/>
      <c r="W119" s="12"/>
      <c r="X119" s="10" t="str">
        <f aca="false">IF(OR(B119="",IF(V119&lt;&gt;"",V119,U119)=""),"",MAX(0,N(R119)-N(T119)-IF(V119&lt;&gt;"",V119,U119)))</f>
        <v/>
      </c>
      <c r="Y119" s="10" t="str">
        <f aca="false">IF(B119="","",N(R119)-N(S119)-N(T119))</f>
        <v/>
      </c>
      <c r="Z119" s="10" t="str">
        <f aca="false">IF(B119="","",IF(OR(G119="",G119="U0"),"اندیکاسیون نامشخص",IF(I119="بدون اندیکاسیون","بدون اندیکاسیون",IF(AND(I119="خارج از جدول",P119&lt;&gt;"بله"),"خارج از جدول بدون تأیید",IF(L119&lt;&gt;"بله","معیار مستند نشده",IF(N(X119)&gt;0,"مطابق، دوز مازاد","مطابق"))))))</f>
        <v/>
      </c>
      <c r="AA119" s="13" t="str">
        <f aca="false">IF(B119="","",IFERROR(COUNTIF(J119:Q119,"بله")/(COUNTIF(J119:Q119,"بله")+COUNTIF(J119:Q119,"خیر")),""))</f>
        <v/>
      </c>
      <c r="AB119" s="14" t="str">
        <f aca="false">IF(B119="","",IF(Z119="مطابق",0,IF(Z119="مطابق، دوز مازاد",N(X119)*N(W119),(N(R119)-N(T119))*N(W119))))</f>
        <v/>
      </c>
      <c r="AC119" s="12"/>
      <c r="AD119" s="12"/>
      <c r="AE119" s="10" t="str">
        <f aca="false">IF(B119="","",IF(AND(N(AC119)&gt;0,NOT(OR(Z119="مطابق",Z119="مطابق، دوز مازاد"))),"ریسک کسورات",IF(AND(OR(Z119="مطابق",Z119="مطابق، دوز مازاد"),N(AC119)=0,D119&lt;&gt;"آزاد",D119&lt;&gt;""),"بررسی امکان دریافت از بیمه","")))</f>
        <v/>
      </c>
      <c r="AF119" s="11"/>
    </row>
    <row r="120" customFormat="false" ht="15" hidden="false" customHeight="false" outlineLevel="0" collapsed="false">
      <c r="A120" s="10" t="str">
        <f aca="false">IF(B120="","",ROW()-2)</f>
        <v/>
      </c>
      <c r="B120" s="11"/>
      <c r="C120" s="11"/>
      <c r="D120" s="11"/>
      <c r="E120" s="11"/>
      <c r="F120" s="11"/>
      <c r="G120" s="11"/>
      <c r="H120" s="10" t="str">
        <f aca="false">IF(G120="","",IFERROR(INDEX('اندیکاسیون‌ها'!$C$3:$C$22,MATCH(G120,'اندیکاسیون‌ها'!$A$3:$A$22,0)),"کد نامعتبر"))</f>
        <v/>
      </c>
      <c r="I120" s="10" t="str">
        <f aca="false">IF(G120="","",IFERROR(INDEX('اندیکاسیون‌ها'!$B$3:$B$22,MATCH(G120,'اندیکاسیون‌ها'!$A$3:$A$22,0)),""))</f>
        <v/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0" t="str">
        <f aca="false">IF(G120="","",IFERROR(INDEX('اندیکاسیون‌ها'!$F$3:$F$22,MATCH(G120,'اندیکاسیون‌ها'!$A$3:$A$22,0)),""))</f>
        <v/>
      </c>
      <c r="V120" s="11"/>
      <c r="W120" s="12"/>
      <c r="X120" s="10" t="str">
        <f aca="false">IF(OR(B120="",IF(V120&lt;&gt;"",V120,U120)=""),"",MAX(0,N(R120)-N(T120)-IF(V120&lt;&gt;"",V120,U120)))</f>
        <v/>
      </c>
      <c r="Y120" s="10" t="str">
        <f aca="false">IF(B120="","",N(R120)-N(S120)-N(T120))</f>
        <v/>
      </c>
      <c r="Z120" s="10" t="str">
        <f aca="false">IF(B120="","",IF(OR(G120="",G120="U0"),"اندیکاسیون نامشخص",IF(I120="بدون اندیکاسیون","بدون اندیکاسیون",IF(AND(I120="خارج از جدول",P120&lt;&gt;"بله"),"خارج از جدول بدون تأیید",IF(L120&lt;&gt;"بله","معیار مستند نشده",IF(N(X120)&gt;0,"مطابق، دوز مازاد","مطابق"))))))</f>
        <v/>
      </c>
      <c r="AA120" s="13" t="str">
        <f aca="false">IF(B120="","",IFERROR(COUNTIF(J120:Q120,"بله")/(COUNTIF(J120:Q120,"بله")+COUNTIF(J120:Q120,"خیر")),""))</f>
        <v/>
      </c>
      <c r="AB120" s="14" t="str">
        <f aca="false">IF(B120="","",IF(Z120="مطابق",0,IF(Z120="مطابق، دوز مازاد",N(X120)*N(W120),(N(R120)-N(T120))*N(W120))))</f>
        <v/>
      </c>
      <c r="AC120" s="12"/>
      <c r="AD120" s="12"/>
      <c r="AE120" s="10" t="str">
        <f aca="false">IF(B120="","",IF(AND(N(AC120)&gt;0,NOT(OR(Z120="مطابق",Z120="مطابق، دوز مازاد"))),"ریسک کسورات",IF(AND(OR(Z120="مطابق",Z120="مطابق، دوز مازاد"),N(AC120)=0,D120&lt;&gt;"آزاد",D120&lt;&gt;""),"بررسی امکان دریافت از بیمه","")))</f>
        <v/>
      </c>
      <c r="AF120" s="11"/>
    </row>
    <row r="121" customFormat="false" ht="15" hidden="false" customHeight="false" outlineLevel="0" collapsed="false">
      <c r="A121" s="10" t="str">
        <f aca="false">IF(B121="","",ROW()-2)</f>
        <v/>
      </c>
      <c r="B121" s="11"/>
      <c r="C121" s="11"/>
      <c r="D121" s="11"/>
      <c r="E121" s="11"/>
      <c r="F121" s="11"/>
      <c r="G121" s="11"/>
      <c r="H121" s="10" t="str">
        <f aca="false">IF(G121="","",IFERROR(INDEX('اندیکاسیون‌ها'!$C$3:$C$22,MATCH(G121,'اندیکاسیون‌ها'!$A$3:$A$22,0)),"کد نامعتبر"))</f>
        <v/>
      </c>
      <c r="I121" s="10" t="str">
        <f aca="false">IF(G121="","",IFERROR(INDEX('اندیکاسیون‌ها'!$B$3:$B$22,MATCH(G121,'اندیکاسیون‌ها'!$A$3:$A$22,0)),""))</f>
        <v/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0" t="str">
        <f aca="false">IF(G121="","",IFERROR(INDEX('اندیکاسیون‌ها'!$F$3:$F$22,MATCH(G121,'اندیکاسیون‌ها'!$A$3:$A$22,0)),""))</f>
        <v/>
      </c>
      <c r="V121" s="11"/>
      <c r="W121" s="12"/>
      <c r="X121" s="10" t="str">
        <f aca="false">IF(OR(B121="",IF(V121&lt;&gt;"",V121,U121)=""),"",MAX(0,N(R121)-N(T121)-IF(V121&lt;&gt;"",V121,U121)))</f>
        <v/>
      </c>
      <c r="Y121" s="10" t="str">
        <f aca="false">IF(B121="","",N(R121)-N(S121)-N(T121))</f>
        <v/>
      </c>
      <c r="Z121" s="10" t="str">
        <f aca="false">IF(B121="","",IF(OR(G121="",G121="U0"),"اندیکاسیون نامشخص",IF(I121="بدون اندیکاسیون","بدون اندیکاسیون",IF(AND(I121="خارج از جدول",P121&lt;&gt;"بله"),"خارج از جدول بدون تأیید",IF(L121&lt;&gt;"بله","معیار مستند نشده",IF(N(X121)&gt;0,"مطابق، دوز مازاد","مطابق"))))))</f>
        <v/>
      </c>
      <c r="AA121" s="13" t="str">
        <f aca="false">IF(B121="","",IFERROR(COUNTIF(J121:Q121,"بله")/(COUNTIF(J121:Q121,"بله")+COUNTIF(J121:Q121,"خیر")),""))</f>
        <v/>
      </c>
      <c r="AB121" s="14" t="str">
        <f aca="false">IF(B121="","",IF(Z121="مطابق",0,IF(Z121="مطابق، دوز مازاد",N(X121)*N(W121),(N(R121)-N(T121))*N(W121))))</f>
        <v/>
      </c>
      <c r="AC121" s="12"/>
      <c r="AD121" s="12"/>
      <c r="AE121" s="10" t="str">
        <f aca="false">IF(B121="","",IF(AND(N(AC121)&gt;0,NOT(OR(Z121="مطابق",Z121="مطابق، دوز مازاد"))),"ریسک کسورات",IF(AND(OR(Z121="مطابق",Z121="مطابق، دوز مازاد"),N(AC121)=0,D121&lt;&gt;"آزاد",D121&lt;&gt;""),"بررسی امکان دریافت از بیمه","")))</f>
        <v/>
      </c>
      <c r="AF121" s="11"/>
    </row>
    <row r="122" customFormat="false" ht="15" hidden="false" customHeight="false" outlineLevel="0" collapsed="false">
      <c r="A122" s="10" t="str">
        <f aca="false">IF(B122="","",ROW()-2)</f>
        <v/>
      </c>
      <c r="B122" s="11"/>
      <c r="C122" s="11"/>
      <c r="D122" s="11"/>
      <c r="E122" s="11"/>
      <c r="F122" s="11"/>
      <c r="G122" s="11"/>
      <c r="H122" s="10" t="str">
        <f aca="false">IF(G122="","",IFERROR(INDEX('اندیکاسیون‌ها'!$C$3:$C$22,MATCH(G122,'اندیکاسیون‌ها'!$A$3:$A$22,0)),"کد نامعتبر"))</f>
        <v/>
      </c>
      <c r="I122" s="10" t="str">
        <f aca="false">IF(G122="","",IFERROR(INDEX('اندیکاسیون‌ها'!$B$3:$B$22,MATCH(G122,'اندیکاسیون‌ها'!$A$3:$A$22,0)),""))</f>
        <v/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0" t="str">
        <f aca="false">IF(G122="","",IFERROR(INDEX('اندیکاسیون‌ها'!$F$3:$F$22,MATCH(G122,'اندیکاسیون‌ها'!$A$3:$A$22,0)),""))</f>
        <v/>
      </c>
      <c r="V122" s="11"/>
      <c r="W122" s="12"/>
      <c r="X122" s="10" t="str">
        <f aca="false">IF(OR(B122="",IF(V122&lt;&gt;"",V122,U122)=""),"",MAX(0,N(R122)-N(T122)-IF(V122&lt;&gt;"",V122,U122)))</f>
        <v/>
      </c>
      <c r="Y122" s="10" t="str">
        <f aca="false">IF(B122="","",N(R122)-N(S122)-N(T122))</f>
        <v/>
      </c>
      <c r="Z122" s="10" t="str">
        <f aca="false">IF(B122="","",IF(OR(G122="",G122="U0"),"اندیکاسیون نامشخص",IF(I122="بدون اندیکاسیون","بدون اندیکاسیون",IF(AND(I122="خارج از جدول",P122&lt;&gt;"بله"),"خارج از جدول بدون تأیید",IF(L122&lt;&gt;"بله","معیار مستند نشده",IF(N(X122)&gt;0,"مطابق، دوز مازاد","مطابق"))))))</f>
        <v/>
      </c>
      <c r="AA122" s="13" t="str">
        <f aca="false">IF(B122="","",IFERROR(COUNTIF(J122:Q122,"بله")/(COUNTIF(J122:Q122,"بله")+COUNTIF(J122:Q122,"خیر")),""))</f>
        <v/>
      </c>
      <c r="AB122" s="14" t="str">
        <f aca="false">IF(B122="","",IF(Z122="مطابق",0,IF(Z122="مطابق، دوز مازاد",N(X122)*N(W122),(N(R122)-N(T122))*N(W122))))</f>
        <v/>
      </c>
      <c r="AC122" s="12"/>
      <c r="AD122" s="12"/>
      <c r="AE122" s="10" t="str">
        <f aca="false">IF(B122="","",IF(AND(N(AC122)&gt;0,NOT(OR(Z122="مطابق",Z122="مطابق، دوز مازاد"))),"ریسک کسورات",IF(AND(OR(Z122="مطابق",Z122="مطابق، دوز مازاد"),N(AC122)=0,D122&lt;&gt;"آزاد",D122&lt;&gt;""),"بررسی امکان دریافت از بیمه","")))</f>
        <v/>
      </c>
      <c r="AF122" s="11"/>
    </row>
    <row r="123" customFormat="false" ht="15" hidden="false" customHeight="false" outlineLevel="0" collapsed="false">
      <c r="A123" s="10" t="str">
        <f aca="false">IF(B123="","",ROW()-2)</f>
        <v/>
      </c>
      <c r="B123" s="11"/>
      <c r="C123" s="11"/>
      <c r="D123" s="11"/>
      <c r="E123" s="11"/>
      <c r="F123" s="11"/>
      <c r="G123" s="11"/>
      <c r="H123" s="10" t="str">
        <f aca="false">IF(G123="","",IFERROR(INDEX('اندیکاسیون‌ها'!$C$3:$C$22,MATCH(G123,'اندیکاسیون‌ها'!$A$3:$A$22,0)),"کد نامعتبر"))</f>
        <v/>
      </c>
      <c r="I123" s="10" t="str">
        <f aca="false">IF(G123="","",IFERROR(INDEX('اندیکاسیون‌ها'!$B$3:$B$22,MATCH(G123,'اندیکاسیون‌ها'!$A$3:$A$22,0)),""))</f>
        <v/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0" t="str">
        <f aca="false">IF(G123="","",IFERROR(INDEX('اندیکاسیون‌ها'!$F$3:$F$22,MATCH(G123,'اندیکاسیون‌ها'!$A$3:$A$22,0)),""))</f>
        <v/>
      </c>
      <c r="V123" s="11"/>
      <c r="W123" s="12"/>
      <c r="X123" s="10" t="str">
        <f aca="false">IF(OR(B123="",IF(V123&lt;&gt;"",V123,U123)=""),"",MAX(0,N(R123)-N(T123)-IF(V123&lt;&gt;"",V123,U123)))</f>
        <v/>
      </c>
      <c r="Y123" s="10" t="str">
        <f aca="false">IF(B123="","",N(R123)-N(S123)-N(T123))</f>
        <v/>
      </c>
      <c r="Z123" s="10" t="str">
        <f aca="false">IF(B123="","",IF(OR(G123="",G123="U0"),"اندیکاسیون نامشخص",IF(I123="بدون اندیکاسیون","بدون اندیکاسیون",IF(AND(I123="خارج از جدول",P123&lt;&gt;"بله"),"خارج از جدول بدون تأیید",IF(L123&lt;&gt;"بله","معیار مستند نشده",IF(N(X123)&gt;0,"مطابق، دوز مازاد","مطابق"))))))</f>
        <v/>
      </c>
      <c r="AA123" s="13" t="str">
        <f aca="false">IF(B123="","",IFERROR(COUNTIF(J123:Q123,"بله")/(COUNTIF(J123:Q123,"بله")+COUNTIF(J123:Q123,"خیر")),""))</f>
        <v/>
      </c>
      <c r="AB123" s="14" t="str">
        <f aca="false">IF(B123="","",IF(Z123="مطابق",0,IF(Z123="مطابق، دوز مازاد",N(X123)*N(W123),(N(R123)-N(T123))*N(W123))))</f>
        <v/>
      </c>
      <c r="AC123" s="12"/>
      <c r="AD123" s="12"/>
      <c r="AE123" s="10" t="str">
        <f aca="false">IF(B123="","",IF(AND(N(AC123)&gt;0,NOT(OR(Z123="مطابق",Z123="مطابق، دوز مازاد"))),"ریسک کسورات",IF(AND(OR(Z123="مطابق",Z123="مطابق، دوز مازاد"),N(AC123)=0,D123&lt;&gt;"آزاد",D123&lt;&gt;""),"بررسی امکان دریافت از بیمه","")))</f>
        <v/>
      </c>
      <c r="AF123" s="11"/>
    </row>
    <row r="124" customFormat="false" ht="15" hidden="false" customHeight="false" outlineLevel="0" collapsed="false">
      <c r="A124" s="10" t="str">
        <f aca="false">IF(B124="","",ROW()-2)</f>
        <v/>
      </c>
      <c r="B124" s="11"/>
      <c r="C124" s="11"/>
      <c r="D124" s="11"/>
      <c r="E124" s="11"/>
      <c r="F124" s="11"/>
      <c r="G124" s="11"/>
      <c r="H124" s="10" t="str">
        <f aca="false">IF(G124="","",IFERROR(INDEX('اندیکاسیون‌ها'!$C$3:$C$22,MATCH(G124,'اندیکاسیون‌ها'!$A$3:$A$22,0)),"کد نامعتبر"))</f>
        <v/>
      </c>
      <c r="I124" s="10" t="str">
        <f aca="false">IF(G124="","",IFERROR(INDEX('اندیکاسیون‌ها'!$B$3:$B$22,MATCH(G124,'اندیکاسیون‌ها'!$A$3:$A$22,0)),""))</f>
        <v/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0" t="str">
        <f aca="false">IF(G124="","",IFERROR(INDEX('اندیکاسیون‌ها'!$F$3:$F$22,MATCH(G124,'اندیکاسیون‌ها'!$A$3:$A$22,0)),""))</f>
        <v/>
      </c>
      <c r="V124" s="11"/>
      <c r="W124" s="12"/>
      <c r="X124" s="10" t="str">
        <f aca="false">IF(OR(B124="",IF(V124&lt;&gt;"",V124,U124)=""),"",MAX(0,N(R124)-N(T124)-IF(V124&lt;&gt;"",V124,U124)))</f>
        <v/>
      </c>
      <c r="Y124" s="10" t="str">
        <f aca="false">IF(B124="","",N(R124)-N(S124)-N(T124))</f>
        <v/>
      </c>
      <c r="Z124" s="10" t="str">
        <f aca="false">IF(B124="","",IF(OR(G124="",G124="U0"),"اندیکاسیون نامشخص",IF(I124="بدون اندیکاسیون","بدون اندیکاسیون",IF(AND(I124="خارج از جدول",P124&lt;&gt;"بله"),"خارج از جدول بدون تأیید",IF(L124&lt;&gt;"بله","معیار مستند نشده",IF(N(X124)&gt;0,"مطابق، دوز مازاد","مطابق"))))))</f>
        <v/>
      </c>
      <c r="AA124" s="13" t="str">
        <f aca="false">IF(B124="","",IFERROR(COUNTIF(J124:Q124,"بله")/(COUNTIF(J124:Q124,"بله")+COUNTIF(J124:Q124,"خیر")),""))</f>
        <v/>
      </c>
      <c r="AB124" s="14" t="str">
        <f aca="false">IF(B124="","",IF(Z124="مطابق",0,IF(Z124="مطابق، دوز مازاد",N(X124)*N(W124),(N(R124)-N(T124))*N(W124))))</f>
        <v/>
      </c>
      <c r="AC124" s="12"/>
      <c r="AD124" s="12"/>
      <c r="AE124" s="10" t="str">
        <f aca="false">IF(B124="","",IF(AND(N(AC124)&gt;0,NOT(OR(Z124="مطابق",Z124="مطابق، دوز مازاد"))),"ریسک کسورات",IF(AND(OR(Z124="مطابق",Z124="مطابق، دوز مازاد"),N(AC124)=0,D124&lt;&gt;"آزاد",D124&lt;&gt;""),"بررسی امکان دریافت از بیمه","")))</f>
        <v/>
      </c>
      <c r="AF124" s="11"/>
    </row>
    <row r="125" customFormat="false" ht="15" hidden="false" customHeight="false" outlineLevel="0" collapsed="false">
      <c r="A125" s="10" t="str">
        <f aca="false">IF(B125="","",ROW()-2)</f>
        <v/>
      </c>
      <c r="B125" s="11"/>
      <c r="C125" s="11"/>
      <c r="D125" s="11"/>
      <c r="E125" s="11"/>
      <c r="F125" s="11"/>
      <c r="G125" s="11"/>
      <c r="H125" s="10" t="str">
        <f aca="false">IF(G125="","",IFERROR(INDEX('اندیکاسیون‌ها'!$C$3:$C$22,MATCH(G125,'اندیکاسیون‌ها'!$A$3:$A$22,0)),"کد نامعتبر"))</f>
        <v/>
      </c>
      <c r="I125" s="10" t="str">
        <f aca="false">IF(G125="","",IFERROR(INDEX('اندیکاسیون‌ها'!$B$3:$B$22,MATCH(G125,'اندیکاسیون‌ها'!$A$3:$A$22,0)),""))</f>
        <v/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0" t="str">
        <f aca="false">IF(G125="","",IFERROR(INDEX('اندیکاسیون‌ها'!$F$3:$F$22,MATCH(G125,'اندیکاسیون‌ها'!$A$3:$A$22,0)),""))</f>
        <v/>
      </c>
      <c r="V125" s="11"/>
      <c r="W125" s="12"/>
      <c r="X125" s="10" t="str">
        <f aca="false">IF(OR(B125="",IF(V125&lt;&gt;"",V125,U125)=""),"",MAX(0,N(R125)-N(T125)-IF(V125&lt;&gt;"",V125,U125)))</f>
        <v/>
      </c>
      <c r="Y125" s="10" t="str">
        <f aca="false">IF(B125="","",N(R125)-N(S125)-N(T125))</f>
        <v/>
      </c>
      <c r="Z125" s="10" t="str">
        <f aca="false">IF(B125="","",IF(OR(G125="",G125="U0"),"اندیکاسیون نامشخص",IF(I125="بدون اندیکاسیون","بدون اندیکاسیون",IF(AND(I125="خارج از جدول",P125&lt;&gt;"بله"),"خارج از جدول بدون تأیید",IF(L125&lt;&gt;"بله","معیار مستند نشده",IF(N(X125)&gt;0,"مطابق، دوز مازاد","مطابق"))))))</f>
        <v/>
      </c>
      <c r="AA125" s="13" t="str">
        <f aca="false">IF(B125="","",IFERROR(COUNTIF(J125:Q125,"بله")/(COUNTIF(J125:Q125,"بله")+COUNTIF(J125:Q125,"خیر")),""))</f>
        <v/>
      </c>
      <c r="AB125" s="14" t="str">
        <f aca="false">IF(B125="","",IF(Z125="مطابق",0,IF(Z125="مطابق، دوز مازاد",N(X125)*N(W125),(N(R125)-N(T125))*N(W125))))</f>
        <v/>
      </c>
      <c r="AC125" s="12"/>
      <c r="AD125" s="12"/>
      <c r="AE125" s="10" t="str">
        <f aca="false">IF(B125="","",IF(AND(N(AC125)&gt;0,NOT(OR(Z125="مطابق",Z125="مطابق، دوز مازاد"))),"ریسک کسورات",IF(AND(OR(Z125="مطابق",Z125="مطابق، دوز مازاد"),N(AC125)=0,D125&lt;&gt;"آزاد",D125&lt;&gt;""),"بررسی امکان دریافت از بیمه","")))</f>
        <v/>
      </c>
      <c r="AF125" s="11"/>
    </row>
    <row r="126" customFormat="false" ht="15" hidden="false" customHeight="false" outlineLevel="0" collapsed="false">
      <c r="A126" s="10" t="str">
        <f aca="false">IF(B126="","",ROW()-2)</f>
        <v/>
      </c>
      <c r="B126" s="11"/>
      <c r="C126" s="11"/>
      <c r="D126" s="11"/>
      <c r="E126" s="11"/>
      <c r="F126" s="11"/>
      <c r="G126" s="11"/>
      <c r="H126" s="10" t="str">
        <f aca="false">IF(G126="","",IFERROR(INDEX('اندیکاسیون‌ها'!$C$3:$C$22,MATCH(G126,'اندیکاسیون‌ها'!$A$3:$A$22,0)),"کد نامعتبر"))</f>
        <v/>
      </c>
      <c r="I126" s="10" t="str">
        <f aca="false">IF(G126="","",IFERROR(INDEX('اندیکاسیون‌ها'!$B$3:$B$22,MATCH(G126,'اندیکاسیون‌ها'!$A$3:$A$22,0)),""))</f>
        <v/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0" t="str">
        <f aca="false">IF(G126="","",IFERROR(INDEX('اندیکاسیون‌ها'!$F$3:$F$22,MATCH(G126,'اندیکاسیون‌ها'!$A$3:$A$22,0)),""))</f>
        <v/>
      </c>
      <c r="V126" s="11"/>
      <c r="W126" s="12"/>
      <c r="X126" s="10" t="str">
        <f aca="false">IF(OR(B126="",IF(V126&lt;&gt;"",V126,U126)=""),"",MAX(0,N(R126)-N(T126)-IF(V126&lt;&gt;"",V126,U126)))</f>
        <v/>
      </c>
      <c r="Y126" s="10" t="str">
        <f aca="false">IF(B126="","",N(R126)-N(S126)-N(T126))</f>
        <v/>
      </c>
      <c r="Z126" s="10" t="str">
        <f aca="false">IF(B126="","",IF(OR(G126="",G126="U0"),"اندیکاسیون نامشخص",IF(I126="بدون اندیکاسیون","بدون اندیکاسیون",IF(AND(I126="خارج از جدول",P126&lt;&gt;"بله"),"خارج از جدول بدون تأیید",IF(L126&lt;&gt;"بله","معیار مستند نشده",IF(N(X126)&gt;0,"مطابق، دوز مازاد","مطابق"))))))</f>
        <v/>
      </c>
      <c r="AA126" s="13" t="str">
        <f aca="false">IF(B126="","",IFERROR(COUNTIF(J126:Q126,"بله")/(COUNTIF(J126:Q126,"بله")+COUNTIF(J126:Q126,"خیر")),""))</f>
        <v/>
      </c>
      <c r="AB126" s="14" t="str">
        <f aca="false">IF(B126="","",IF(Z126="مطابق",0,IF(Z126="مطابق، دوز مازاد",N(X126)*N(W126),(N(R126)-N(T126))*N(W126))))</f>
        <v/>
      </c>
      <c r="AC126" s="12"/>
      <c r="AD126" s="12"/>
      <c r="AE126" s="10" t="str">
        <f aca="false">IF(B126="","",IF(AND(N(AC126)&gt;0,NOT(OR(Z126="مطابق",Z126="مطابق، دوز مازاد"))),"ریسک کسورات",IF(AND(OR(Z126="مطابق",Z126="مطابق، دوز مازاد"),N(AC126)=0,D126&lt;&gt;"آزاد",D126&lt;&gt;""),"بررسی امکان دریافت از بیمه","")))</f>
        <v/>
      </c>
      <c r="AF126" s="11"/>
    </row>
    <row r="127" customFormat="false" ht="15" hidden="false" customHeight="false" outlineLevel="0" collapsed="false">
      <c r="A127" s="10" t="str">
        <f aca="false">IF(B127="","",ROW()-2)</f>
        <v/>
      </c>
      <c r="B127" s="11"/>
      <c r="C127" s="11"/>
      <c r="D127" s="11"/>
      <c r="E127" s="11"/>
      <c r="F127" s="11"/>
      <c r="G127" s="11"/>
      <c r="H127" s="10" t="str">
        <f aca="false">IF(G127="","",IFERROR(INDEX('اندیکاسیون‌ها'!$C$3:$C$22,MATCH(G127,'اندیکاسیون‌ها'!$A$3:$A$22,0)),"کد نامعتبر"))</f>
        <v/>
      </c>
      <c r="I127" s="10" t="str">
        <f aca="false">IF(G127="","",IFERROR(INDEX('اندیکاسیون‌ها'!$B$3:$B$22,MATCH(G127,'اندیکاسیون‌ها'!$A$3:$A$22,0)),""))</f>
        <v/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0" t="str">
        <f aca="false">IF(G127="","",IFERROR(INDEX('اندیکاسیون‌ها'!$F$3:$F$22,MATCH(G127,'اندیکاسیون‌ها'!$A$3:$A$22,0)),""))</f>
        <v/>
      </c>
      <c r="V127" s="11"/>
      <c r="W127" s="12"/>
      <c r="X127" s="10" t="str">
        <f aca="false">IF(OR(B127="",IF(V127&lt;&gt;"",V127,U127)=""),"",MAX(0,N(R127)-N(T127)-IF(V127&lt;&gt;"",V127,U127)))</f>
        <v/>
      </c>
      <c r="Y127" s="10" t="str">
        <f aca="false">IF(B127="","",N(R127)-N(S127)-N(T127))</f>
        <v/>
      </c>
      <c r="Z127" s="10" t="str">
        <f aca="false">IF(B127="","",IF(OR(G127="",G127="U0"),"اندیکاسیون نامشخص",IF(I127="بدون اندیکاسیون","بدون اندیکاسیون",IF(AND(I127="خارج از جدول",P127&lt;&gt;"بله"),"خارج از جدول بدون تأیید",IF(L127&lt;&gt;"بله","معیار مستند نشده",IF(N(X127)&gt;0,"مطابق، دوز مازاد","مطابق"))))))</f>
        <v/>
      </c>
      <c r="AA127" s="13" t="str">
        <f aca="false">IF(B127="","",IFERROR(COUNTIF(J127:Q127,"بله")/(COUNTIF(J127:Q127,"بله")+COUNTIF(J127:Q127,"خیر")),""))</f>
        <v/>
      </c>
      <c r="AB127" s="14" t="str">
        <f aca="false">IF(B127="","",IF(Z127="مطابق",0,IF(Z127="مطابق، دوز مازاد",N(X127)*N(W127),(N(R127)-N(T127))*N(W127))))</f>
        <v/>
      </c>
      <c r="AC127" s="12"/>
      <c r="AD127" s="12"/>
      <c r="AE127" s="10" t="str">
        <f aca="false">IF(B127="","",IF(AND(N(AC127)&gt;0,NOT(OR(Z127="مطابق",Z127="مطابق، دوز مازاد"))),"ریسک کسورات",IF(AND(OR(Z127="مطابق",Z127="مطابق، دوز مازاد"),N(AC127)=0,D127&lt;&gt;"آزاد",D127&lt;&gt;""),"بررسی امکان دریافت از بیمه","")))</f>
        <v/>
      </c>
      <c r="AF127" s="11"/>
    </row>
    <row r="128" customFormat="false" ht="15" hidden="false" customHeight="false" outlineLevel="0" collapsed="false">
      <c r="A128" s="10" t="str">
        <f aca="false">IF(B128="","",ROW()-2)</f>
        <v/>
      </c>
      <c r="B128" s="11"/>
      <c r="C128" s="11"/>
      <c r="D128" s="11"/>
      <c r="E128" s="11"/>
      <c r="F128" s="11"/>
      <c r="G128" s="11"/>
      <c r="H128" s="10" t="str">
        <f aca="false">IF(G128="","",IFERROR(INDEX('اندیکاسیون‌ها'!$C$3:$C$22,MATCH(G128,'اندیکاسیون‌ها'!$A$3:$A$22,0)),"کد نامعتبر"))</f>
        <v/>
      </c>
      <c r="I128" s="10" t="str">
        <f aca="false">IF(G128="","",IFERROR(INDEX('اندیکاسیون‌ها'!$B$3:$B$22,MATCH(G128,'اندیکاسیون‌ها'!$A$3:$A$22,0)),""))</f>
        <v/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0" t="str">
        <f aca="false">IF(G128="","",IFERROR(INDEX('اندیکاسیون‌ها'!$F$3:$F$22,MATCH(G128,'اندیکاسیون‌ها'!$A$3:$A$22,0)),""))</f>
        <v/>
      </c>
      <c r="V128" s="11"/>
      <c r="W128" s="12"/>
      <c r="X128" s="10" t="str">
        <f aca="false">IF(OR(B128="",IF(V128&lt;&gt;"",V128,U128)=""),"",MAX(0,N(R128)-N(T128)-IF(V128&lt;&gt;"",V128,U128)))</f>
        <v/>
      </c>
      <c r="Y128" s="10" t="str">
        <f aca="false">IF(B128="","",N(R128)-N(S128)-N(T128))</f>
        <v/>
      </c>
      <c r="Z128" s="10" t="str">
        <f aca="false">IF(B128="","",IF(OR(G128="",G128="U0"),"اندیکاسیون نامشخص",IF(I128="بدون اندیکاسیون","بدون اندیکاسیون",IF(AND(I128="خارج از جدول",P128&lt;&gt;"بله"),"خارج از جدول بدون تأیید",IF(L128&lt;&gt;"بله","معیار مستند نشده",IF(N(X128)&gt;0,"مطابق، دوز مازاد","مطابق"))))))</f>
        <v/>
      </c>
      <c r="AA128" s="13" t="str">
        <f aca="false">IF(B128="","",IFERROR(COUNTIF(J128:Q128,"بله")/(COUNTIF(J128:Q128,"بله")+COUNTIF(J128:Q128,"خیر")),""))</f>
        <v/>
      </c>
      <c r="AB128" s="14" t="str">
        <f aca="false">IF(B128="","",IF(Z128="مطابق",0,IF(Z128="مطابق، دوز مازاد",N(X128)*N(W128),(N(R128)-N(T128))*N(W128))))</f>
        <v/>
      </c>
      <c r="AC128" s="12"/>
      <c r="AD128" s="12"/>
      <c r="AE128" s="10" t="str">
        <f aca="false">IF(B128="","",IF(AND(N(AC128)&gt;0,NOT(OR(Z128="مطابق",Z128="مطابق، دوز مازاد"))),"ریسک کسورات",IF(AND(OR(Z128="مطابق",Z128="مطابق، دوز مازاد"),N(AC128)=0,D128&lt;&gt;"آزاد",D128&lt;&gt;""),"بررسی امکان دریافت از بیمه","")))</f>
        <v/>
      </c>
      <c r="AF128" s="11"/>
    </row>
    <row r="129" customFormat="false" ht="15" hidden="false" customHeight="false" outlineLevel="0" collapsed="false">
      <c r="A129" s="10" t="str">
        <f aca="false">IF(B129="","",ROW()-2)</f>
        <v/>
      </c>
      <c r="B129" s="11"/>
      <c r="C129" s="11"/>
      <c r="D129" s="11"/>
      <c r="E129" s="11"/>
      <c r="F129" s="11"/>
      <c r="G129" s="11"/>
      <c r="H129" s="10" t="str">
        <f aca="false">IF(G129="","",IFERROR(INDEX('اندیکاسیون‌ها'!$C$3:$C$22,MATCH(G129,'اندیکاسیون‌ها'!$A$3:$A$22,0)),"کد نامعتبر"))</f>
        <v/>
      </c>
      <c r="I129" s="10" t="str">
        <f aca="false">IF(G129="","",IFERROR(INDEX('اندیکاسیون‌ها'!$B$3:$B$22,MATCH(G129,'اندیکاسیون‌ها'!$A$3:$A$22,0)),""))</f>
        <v/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0" t="str">
        <f aca="false">IF(G129="","",IFERROR(INDEX('اندیکاسیون‌ها'!$F$3:$F$22,MATCH(G129,'اندیکاسیون‌ها'!$A$3:$A$22,0)),""))</f>
        <v/>
      </c>
      <c r="V129" s="11"/>
      <c r="W129" s="12"/>
      <c r="X129" s="10" t="str">
        <f aca="false">IF(OR(B129="",IF(V129&lt;&gt;"",V129,U129)=""),"",MAX(0,N(R129)-N(T129)-IF(V129&lt;&gt;"",V129,U129)))</f>
        <v/>
      </c>
      <c r="Y129" s="10" t="str">
        <f aca="false">IF(B129="","",N(R129)-N(S129)-N(T129))</f>
        <v/>
      </c>
      <c r="Z129" s="10" t="str">
        <f aca="false">IF(B129="","",IF(OR(G129="",G129="U0"),"اندیکاسیون نامشخص",IF(I129="بدون اندیکاسیون","بدون اندیکاسیون",IF(AND(I129="خارج از جدول",P129&lt;&gt;"بله"),"خارج از جدول بدون تأیید",IF(L129&lt;&gt;"بله","معیار مستند نشده",IF(N(X129)&gt;0,"مطابق، دوز مازاد","مطابق"))))))</f>
        <v/>
      </c>
      <c r="AA129" s="13" t="str">
        <f aca="false">IF(B129="","",IFERROR(COUNTIF(J129:Q129,"بله")/(COUNTIF(J129:Q129,"بله")+COUNTIF(J129:Q129,"خیر")),""))</f>
        <v/>
      </c>
      <c r="AB129" s="14" t="str">
        <f aca="false">IF(B129="","",IF(Z129="مطابق",0,IF(Z129="مطابق، دوز مازاد",N(X129)*N(W129),(N(R129)-N(T129))*N(W129))))</f>
        <v/>
      </c>
      <c r="AC129" s="12"/>
      <c r="AD129" s="12"/>
      <c r="AE129" s="10" t="str">
        <f aca="false">IF(B129="","",IF(AND(N(AC129)&gt;0,NOT(OR(Z129="مطابق",Z129="مطابق، دوز مازاد"))),"ریسک کسورات",IF(AND(OR(Z129="مطابق",Z129="مطابق، دوز مازاد"),N(AC129)=0,D129&lt;&gt;"آزاد",D129&lt;&gt;""),"بررسی امکان دریافت از بیمه","")))</f>
        <v/>
      </c>
      <c r="AF129" s="11"/>
    </row>
    <row r="130" customFormat="false" ht="15" hidden="false" customHeight="false" outlineLevel="0" collapsed="false">
      <c r="A130" s="10" t="str">
        <f aca="false">IF(B130="","",ROW()-2)</f>
        <v/>
      </c>
      <c r="B130" s="11"/>
      <c r="C130" s="11"/>
      <c r="D130" s="11"/>
      <c r="E130" s="11"/>
      <c r="F130" s="11"/>
      <c r="G130" s="11"/>
      <c r="H130" s="10" t="str">
        <f aca="false">IF(G130="","",IFERROR(INDEX('اندیکاسیون‌ها'!$C$3:$C$22,MATCH(G130,'اندیکاسیون‌ها'!$A$3:$A$22,0)),"کد نامعتبر"))</f>
        <v/>
      </c>
      <c r="I130" s="10" t="str">
        <f aca="false">IF(G130="","",IFERROR(INDEX('اندیکاسیون‌ها'!$B$3:$B$22,MATCH(G130,'اندیکاسیون‌ها'!$A$3:$A$22,0)),""))</f>
        <v/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0" t="str">
        <f aca="false">IF(G130="","",IFERROR(INDEX('اندیکاسیون‌ها'!$F$3:$F$22,MATCH(G130,'اندیکاسیون‌ها'!$A$3:$A$22,0)),""))</f>
        <v/>
      </c>
      <c r="V130" s="11"/>
      <c r="W130" s="12"/>
      <c r="X130" s="10" t="str">
        <f aca="false">IF(OR(B130="",IF(V130&lt;&gt;"",V130,U130)=""),"",MAX(0,N(R130)-N(T130)-IF(V130&lt;&gt;"",V130,U130)))</f>
        <v/>
      </c>
      <c r="Y130" s="10" t="str">
        <f aca="false">IF(B130="","",N(R130)-N(S130)-N(T130))</f>
        <v/>
      </c>
      <c r="Z130" s="10" t="str">
        <f aca="false">IF(B130="","",IF(OR(G130="",G130="U0"),"اندیکاسیون نامشخص",IF(I130="بدون اندیکاسیون","بدون اندیکاسیون",IF(AND(I130="خارج از جدول",P130&lt;&gt;"بله"),"خارج از جدول بدون تأیید",IF(L130&lt;&gt;"بله","معیار مستند نشده",IF(N(X130)&gt;0,"مطابق، دوز مازاد","مطابق"))))))</f>
        <v/>
      </c>
      <c r="AA130" s="13" t="str">
        <f aca="false">IF(B130="","",IFERROR(COUNTIF(J130:Q130,"بله")/(COUNTIF(J130:Q130,"بله")+COUNTIF(J130:Q130,"خیر")),""))</f>
        <v/>
      </c>
      <c r="AB130" s="14" t="str">
        <f aca="false">IF(B130="","",IF(Z130="مطابق",0,IF(Z130="مطابق، دوز مازاد",N(X130)*N(W130),(N(R130)-N(T130))*N(W130))))</f>
        <v/>
      </c>
      <c r="AC130" s="12"/>
      <c r="AD130" s="12"/>
      <c r="AE130" s="10" t="str">
        <f aca="false">IF(B130="","",IF(AND(N(AC130)&gt;0,NOT(OR(Z130="مطابق",Z130="مطابق، دوز مازاد"))),"ریسک کسورات",IF(AND(OR(Z130="مطابق",Z130="مطابق، دوز مازاد"),N(AC130)=0,D130&lt;&gt;"آزاد",D130&lt;&gt;""),"بررسی امکان دریافت از بیمه","")))</f>
        <v/>
      </c>
      <c r="AF130" s="11"/>
    </row>
    <row r="131" customFormat="false" ht="15" hidden="false" customHeight="false" outlineLevel="0" collapsed="false">
      <c r="A131" s="10" t="str">
        <f aca="false">IF(B131="","",ROW()-2)</f>
        <v/>
      </c>
      <c r="B131" s="11"/>
      <c r="C131" s="11"/>
      <c r="D131" s="11"/>
      <c r="E131" s="11"/>
      <c r="F131" s="11"/>
      <c r="G131" s="11"/>
      <c r="H131" s="10" t="str">
        <f aca="false">IF(G131="","",IFERROR(INDEX('اندیکاسیون‌ها'!$C$3:$C$22,MATCH(G131,'اندیکاسیون‌ها'!$A$3:$A$22,0)),"کد نامعتبر"))</f>
        <v/>
      </c>
      <c r="I131" s="10" t="str">
        <f aca="false">IF(G131="","",IFERROR(INDEX('اندیکاسیون‌ها'!$B$3:$B$22,MATCH(G131,'اندیکاسیون‌ها'!$A$3:$A$22,0)),""))</f>
        <v/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0" t="str">
        <f aca="false">IF(G131="","",IFERROR(INDEX('اندیکاسیون‌ها'!$F$3:$F$22,MATCH(G131,'اندیکاسیون‌ها'!$A$3:$A$22,0)),""))</f>
        <v/>
      </c>
      <c r="V131" s="11"/>
      <c r="W131" s="12"/>
      <c r="X131" s="10" t="str">
        <f aca="false">IF(OR(B131="",IF(V131&lt;&gt;"",V131,U131)=""),"",MAX(0,N(R131)-N(T131)-IF(V131&lt;&gt;"",V131,U131)))</f>
        <v/>
      </c>
      <c r="Y131" s="10" t="str">
        <f aca="false">IF(B131="","",N(R131)-N(S131)-N(T131))</f>
        <v/>
      </c>
      <c r="Z131" s="10" t="str">
        <f aca="false">IF(B131="","",IF(OR(G131="",G131="U0"),"اندیکاسیون نامشخص",IF(I131="بدون اندیکاسیون","بدون اندیکاسیون",IF(AND(I131="خارج از جدول",P131&lt;&gt;"بله"),"خارج از جدول بدون تأیید",IF(L131&lt;&gt;"بله","معیار مستند نشده",IF(N(X131)&gt;0,"مطابق، دوز مازاد","مطابق"))))))</f>
        <v/>
      </c>
      <c r="AA131" s="13" t="str">
        <f aca="false">IF(B131="","",IFERROR(COUNTIF(J131:Q131,"بله")/(COUNTIF(J131:Q131,"بله")+COUNTIF(J131:Q131,"خیر")),""))</f>
        <v/>
      </c>
      <c r="AB131" s="14" t="str">
        <f aca="false">IF(B131="","",IF(Z131="مطابق",0,IF(Z131="مطابق، دوز مازاد",N(X131)*N(W131),(N(R131)-N(T131))*N(W131))))</f>
        <v/>
      </c>
      <c r="AC131" s="12"/>
      <c r="AD131" s="12"/>
      <c r="AE131" s="10" t="str">
        <f aca="false">IF(B131="","",IF(AND(N(AC131)&gt;0,NOT(OR(Z131="مطابق",Z131="مطابق، دوز مازاد"))),"ریسک کسورات",IF(AND(OR(Z131="مطابق",Z131="مطابق، دوز مازاد"),N(AC131)=0,D131&lt;&gt;"آزاد",D131&lt;&gt;""),"بررسی امکان دریافت از بیمه","")))</f>
        <v/>
      </c>
      <c r="AF131" s="11"/>
    </row>
    <row r="132" customFormat="false" ht="15" hidden="false" customHeight="false" outlineLevel="0" collapsed="false">
      <c r="A132" s="10" t="str">
        <f aca="false">IF(B132="","",ROW()-2)</f>
        <v/>
      </c>
      <c r="B132" s="11"/>
      <c r="C132" s="11"/>
      <c r="D132" s="11"/>
      <c r="E132" s="11"/>
      <c r="F132" s="11"/>
      <c r="G132" s="11"/>
      <c r="H132" s="10" t="str">
        <f aca="false">IF(G132="","",IFERROR(INDEX('اندیکاسیون‌ها'!$C$3:$C$22,MATCH(G132,'اندیکاسیون‌ها'!$A$3:$A$22,0)),"کد نامعتبر"))</f>
        <v/>
      </c>
      <c r="I132" s="10" t="str">
        <f aca="false">IF(G132="","",IFERROR(INDEX('اندیکاسیون‌ها'!$B$3:$B$22,MATCH(G132,'اندیکاسیون‌ها'!$A$3:$A$22,0)),""))</f>
        <v/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0" t="str">
        <f aca="false">IF(G132="","",IFERROR(INDEX('اندیکاسیون‌ها'!$F$3:$F$22,MATCH(G132,'اندیکاسیون‌ها'!$A$3:$A$22,0)),""))</f>
        <v/>
      </c>
      <c r="V132" s="11"/>
      <c r="W132" s="12"/>
      <c r="X132" s="10" t="str">
        <f aca="false">IF(OR(B132="",IF(V132&lt;&gt;"",V132,U132)=""),"",MAX(0,N(R132)-N(T132)-IF(V132&lt;&gt;"",V132,U132)))</f>
        <v/>
      </c>
      <c r="Y132" s="10" t="str">
        <f aca="false">IF(B132="","",N(R132)-N(S132)-N(T132))</f>
        <v/>
      </c>
      <c r="Z132" s="10" t="str">
        <f aca="false">IF(B132="","",IF(OR(G132="",G132="U0"),"اندیکاسیون نامشخص",IF(I132="بدون اندیکاسیون","بدون اندیکاسیون",IF(AND(I132="خارج از جدول",P132&lt;&gt;"بله"),"خارج از جدول بدون تأیید",IF(L132&lt;&gt;"بله","معیار مستند نشده",IF(N(X132)&gt;0,"مطابق، دوز مازاد","مطابق"))))))</f>
        <v/>
      </c>
      <c r="AA132" s="13" t="str">
        <f aca="false">IF(B132="","",IFERROR(COUNTIF(J132:Q132,"بله")/(COUNTIF(J132:Q132,"بله")+COUNTIF(J132:Q132,"خیر")),""))</f>
        <v/>
      </c>
      <c r="AB132" s="14" t="str">
        <f aca="false">IF(B132="","",IF(Z132="مطابق",0,IF(Z132="مطابق، دوز مازاد",N(X132)*N(W132),(N(R132)-N(T132))*N(W132))))</f>
        <v/>
      </c>
      <c r="AC132" s="12"/>
      <c r="AD132" s="12"/>
      <c r="AE132" s="10" t="str">
        <f aca="false">IF(B132="","",IF(AND(N(AC132)&gt;0,NOT(OR(Z132="مطابق",Z132="مطابق، دوز مازاد"))),"ریسک کسورات",IF(AND(OR(Z132="مطابق",Z132="مطابق، دوز مازاد"),N(AC132)=0,D132&lt;&gt;"آزاد",D132&lt;&gt;""),"بررسی امکان دریافت از بیمه","")))</f>
        <v/>
      </c>
      <c r="AF132" s="11"/>
    </row>
    <row r="133" customFormat="false" ht="15" hidden="false" customHeight="false" outlineLevel="0" collapsed="false">
      <c r="A133" s="10" t="str">
        <f aca="false">IF(B133="","",ROW()-2)</f>
        <v/>
      </c>
      <c r="B133" s="11"/>
      <c r="C133" s="11"/>
      <c r="D133" s="11"/>
      <c r="E133" s="11"/>
      <c r="F133" s="11"/>
      <c r="G133" s="11"/>
      <c r="H133" s="10" t="str">
        <f aca="false">IF(G133="","",IFERROR(INDEX('اندیکاسیون‌ها'!$C$3:$C$22,MATCH(G133,'اندیکاسیون‌ها'!$A$3:$A$22,0)),"کد نامعتبر"))</f>
        <v/>
      </c>
      <c r="I133" s="10" t="str">
        <f aca="false">IF(G133="","",IFERROR(INDEX('اندیکاسیون‌ها'!$B$3:$B$22,MATCH(G133,'اندیکاسیون‌ها'!$A$3:$A$22,0)),""))</f>
        <v/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0" t="str">
        <f aca="false">IF(G133="","",IFERROR(INDEX('اندیکاسیون‌ها'!$F$3:$F$22,MATCH(G133,'اندیکاسیون‌ها'!$A$3:$A$22,0)),""))</f>
        <v/>
      </c>
      <c r="V133" s="11"/>
      <c r="W133" s="12"/>
      <c r="X133" s="10" t="str">
        <f aca="false">IF(OR(B133="",IF(V133&lt;&gt;"",V133,U133)=""),"",MAX(0,N(R133)-N(T133)-IF(V133&lt;&gt;"",V133,U133)))</f>
        <v/>
      </c>
      <c r="Y133" s="10" t="str">
        <f aca="false">IF(B133="","",N(R133)-N(S133)-N(T133))</f>
        <v/>
      </c>
      <c r="Z133" s="10" t="str">
        <f aca="false">IF(B133="","",IF(OR(G133="",G133="U0"),"اندیکاسیون نامشخص",IF(I133="بدون اندیکاسیون","بدون اندیکاسیون",IF(AND(I133="خارج از جدول",P133&lt;&gt;"بله"),"خارج از جدول بدون تأیید",IF(L133&lt;&gt;"بله","معیار مستند نشده",IF(N(X133)&gt;0,"مطابق، دوز مازاد","مطابق"))))))</f>
        <v/>
      </c>
      <c r="AA133" s="13" t="str">
        <f aca="false">IF(B133="","",IFERROR(COUNTIF(J133:Q133,"بله")/(COUNTIF(J133:Q133,"بله")+COUNTIF(J133:Q133,"خیر")),""))</f>
        <v/>
      </c>
      <c r="AB133" s="14" t="str">
        <f aca="false">IF(B133="","",IF(Z133="مطابق",0,IF(Z133="مطابق، دوز مازاد",N(X133)*N(W133),(N(R133)-N(T133))*N(W133))))</f>
        <v/>
      </c>
      <c r="AC133" s="12"/>
      <c r="AD133" s="12"/>
      <c r="AE133" s="10" t="str">
        <f aca="false">IF(B133="","",IF(AND(N(AC133)&gt;0,NOT(OR(Z133="مطابق",Z133="مطابق، دوز مازاد"))),"ریسک کسورات",IF(AND(OR(Z133="مطابق",Z133="مطابق، دوز مازاد"),N(AC133)=0,D133&lt;&gt;"آزاد",D133&lt;&gt;""),"بررسی امکان دریافت از بیمه","")))</f>
        <v/>
      </c>
      <c r="AF133" s="11"/>
    </row>
    <row r="134" customFormat="false" ht="15" hidden="false" customHeight="false" outlineLevel="0" collapsed="false">
      <c r="A134" s="10" t="str">
        <f aca="false">IF(B134="","",ROW()-2)</f>
        <v/>
      </c>
      <c r="B134" s="11"/>
      <c r="C134" s="11"/>
      <c r="D134" s="11"/>
      <c r="E134" s="11"/>
      <c r="F134" s="11"/>
      <c r="G134" s="11"/>
      <c r="H134" s="10" t="str">
        <f aca="false">IF(G134="","",IFERROR(INDEX('اندیکاسیون‌ها'!$C$3:$C$22,MATCH(G134,'اندیکاسیون‌ها'!$A$3:$A$22,0)),"کد نامعتبر"))</f>
        <v/>
      </c>
      <c r="I134" s="10" t="str">
        <f aca="false">IF(G134="","",IFERROR(INDEX('اندیکاسیون‌ها'!$B$3:$B$22,MATCH(G134,'اندیکاسیون‌ها'!$A$3:$A$22,0)),""))</f>
        <v/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0" t="str">
        <f aca="false">IF(G134="","",IFERROR(INDEX('اندیکاسیون‌ها'!$F$3:$F$22,MATCH(G134,'اندیکاسیون‌ها'!$A$3:$A$22,0)),""))</f>
        <v/>
      </c>
      <c r="V134" s="11"/>
      <c r="W134" s="12"/>
      <c r="X134" s="10" t="str">
        <f aca="false">IF(OR(B134="",IF(V134&lt;&gt;"",V134,U134)=""),"",MAX(0,N(R134)-N(T134)-IF(V134&lt;&gt;"",V134,U134)))</f>
        <v/>
      </c>
      <c r="Y134" s="10" t="str">
        <f aca="false">IF(B134="","",N(R134)-N(S134)-N(T134))</f>
        <v/>
      </c>
      <c r="Z134" s="10" t="str">
        <f aca="false">IF(B134="","",IF(OR(G134="",G134="U0"),"اندیکاسیون نامشخص",IF(I134="بدون اندیکاسیون","بدون اندیکاسیون",IF(AND(I134="خارج از جدول",P134&lt;&gt;"بله"),"خارج از جدول بدون تأیید",IF(L134&lt;&gt;"بله","معیار مستند نشده",IF(N(X134)&gt;0,"مطابق، دوز مازاد","مطابق"))))))</f>
        <v/>
      </c>
      <c r="AA134" s="13" t="str">
        <f aca="false">IF(B134="","",IFERROR(COUNTIF(J134:Q134,"بله")/(COUNTIF(J134:Q134,"بله")+COUNTIF(J134:Q134,"خیر")),""))</f>
        <v/>
      </c>
      <c r="AB134" s="14" t="str">
        <f aca="false">IF(B134="","",IF(Z134="مطابق",0,IF(Z134="مطابق، دوز مازاد",N(X134)*N(W134),(N(R134)-N(T134))*N(W134))))</f>
        <v/>
      </c>
      <c r="AC134" s="12"/>
      <c r="AD134" s="12"/>
      <c r="AE134" s="10" t="str">
        <f aca="false">IF(B134="","",IF(AND(N(AC134)&gt;0,NOT(OR(Z134="مطابق",Z134="مطابق، دوز مازاد"))),"ریسک کسورات",IF(AND(OR(Z134="مطابق",Z134="مطابق، دوز مازاد"),N(AC134)=0,D134&lt;&gt;"آزاد",D134&lt;&gt;""),"بررسی امکان دریافت از بیمه","")))</f>
        <v/>
      </c>
      <c r="AF134" s="11"/>
    </row>
    <row r="135" customFormat="false" ht="15" hidden="false" customHeight="false" outlineLevel="0" collapsed="false">
      <c r="A135" s="10" t="str">
        <f aca="false">IF(B135="","",ROW()-2)</f>
        <v/>
      </c>
      <c r="B135" s="11"/>
      <c r="C135" s="11"/>
      <c r="D135" s="11"/>
      <c r="E135" s="11"/>
      <c r="F135" s="11"/>
      <c r="G135" s="11"/>
      <c r="H135" s="10" t="str">
        <f aca="false">IF(G135="","",IFERROR(INDEX('اندیکاسیون‌ها'!$C$3:$C$22,MATCH(G135,'اندیکاسیون‌ها'!$A$3:$A$22,0)),"کد نامعتبر"))</f>
        <v/>
      </c>
      <c r="I135" s="10" t="str">
        <f aca="false">IF(G135="","",IFERROR(INDEX('اندیکاسیون‌ها'!$B$3:$B$22,MATCH(G135,'اندیکاسیون‌ها'!$A$3:$A$22,0)),""))</f>
        <v/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0" t="str">
        <f aca="false">IF(G135="","",IFERROR(INDEX('اندیکاسیون‌ها'!$F$3:$F$22,MATCH(G135,'اندیکاسیون‌ها'!$A$3:$A$22,0)),""))</f>
        <v/>
      </c>
      <c r="V135" s="11"/>
      <c r="W135" s="12"/>
      <c r="X135" s="10" t="str">
        <f aca="false">IF(OR(B135="",IF(V135&lt;&gt;"",V135,U135)=""),"",MAX(0,N(R135)-N(T135)-IF(V135&lt;&gt;"",V135,U135)))</f>
        <v/>
      </c>
      <c r="Y135" s="10" t="str">
        <f aca="false">IF(B135="","",N(R135)-N(S135)-N(T135))</f>
        <v/>
      </c>
      <c r="Z135" s="10" t="str">
        <f aca="false">IF(B135="","",IF(OR(G135="",G135="U0"),"اندیکاسیون نامشخص",IF(I135="بدون اندیکاسیون","بدون اندیکاسیون",IF(AND(I135="خارج از جدول",P135&lt;&gt;"بله"),"خارج از جدول بدون تأیید",IF(L135&lt;&gt;"بله","معیار مستند نشده",IF(N(X135)&gt;0,"مطابق، دوز مازاد","مطابق"))))))</f>
        <v/>
      </c>
      <c r="AA135" s="13" t="str">
        <f aca="false">IF(B135="","",IFERROR(COUNTIF(J135:Q135,"بله")/(COUNTIF(J135:Q135,"بله")+COUNTIF(J135:Q135,"خیر")),""))</f>
        <v/>
      </c>
      <c r="AB135" s="14" t="str">
        <f aca="false">IF(B135="","",IF(Z135="مطابق",0,IF(Z135="مطابق، دوز مازاد",N(X135)*N(W135),(N(R135)-N(T135))*N(W135))))</f>
        <v/>
      </c>
      <c r="AC135" s="12"/>
      <c r="AD135" s="12"/>
      <c r="AE135" s="10" t="str">
        <f aca="false">IF(B135="","",IF(AND(N(AC135)&gt;0,NOT(OR(Z135="مطابق",Z135="مطابق، دوز مازاد"))),"ریسک کسورات",IF(AND(OR(Z135="مطابق",Z135="مطابق، دوز مازاد"),N(AC135)=0,D135&lt;&gt;"آزاد",D135&lt;&gt;""),"بررسی امکان دریافت از بیمه","")))</f>
        <v/>
      </c>
      <c r="AF135" s="11"/>
    </row>
    <row r="136" customFormat="false" ht="15" hidden="false" customHeight="false" outlineLevel="0" collapsed="false">
      <c r="A136" s="10" t="str">
        <f aca="false">IF(B136="","",ROW()-2)</f>
        <v/>
      </c>
      <c r="B136" s="11"/>
      <c r="C136" s="11"/>
      <c r="D136" s="11"/>
      <c r="E136" s="11"/>
      <c r="F136" s="11"/>
      <c r="G136" s="11"/>
      <c r="H136" s="10" t="str">
        <f aca="false">IF(G136="","",IFERROR(INDEX('اندیکاسیون‌ها'!$C$3:$C$22,MATCH(G136,'اندیکاسیون‌ها'!$A$3:$A$22,0)),"کد نامعتبر"))</f>
        <v/>
      </c>
      <c r="I136" s="10" t="str">
        <f aca="false">IF(G136="","",IFERROR(INDEX('اندیکاسیون‌ها'!$B$3:$B$22,MATCH(G136,'اندیکاسیون‌ها'!$A$3:$A$22,0)),""))</f>
        <v/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0" t="str">
        <f aca="false">IF(G136="","",IFERROR(INDEX('اندیکاسیون‌ها'!$F$3:$F$22,MATCH(G136,'اندیکاسیون‌ها'!$A$3:$A$22,0)),""))</f>
        <v/>
      </c>
      <c r="V136" s="11"/>
      <c r="W136" s="12"/>
      <c r="X136" s="10" t="str">
        <f aca="false">IF(OR(B136="",IF(V136&lt;&gt;"",V136,U136)=""),"",MAX(0,N(R136)-N(T136)-IF(V136&lt;&gt;"",V136,U136)))</f>
        <v/>
      </c>
      <c r="Y136" s="10" t="str">
        <f aca="false">IF(B136="","",N(R136)-N(S136)-N(T136))</f>
        <v/>
      </c>
      <c r="Z136" s="10" t="str">
        <f aca="false">IF(B136="","",IF(OR(G136="",G136="U0"),"اندیکاسیون نامشخص",IF(I136="بدون اندیکاسیون","بدون اندیکاسیون",IF(AND(I136="خارج از جدول",P136&lt;&gt;"بله"),"خارج از جدول بدون تأیید",IF(L136&lt;&gt;"بله","معیار مستند نشده",IF(N(X136)&gt;0,"مطابق، دوز مازاد","مطابق"))))))</f>
        <v/>
      </c>
      <c r="AA136" s="13" t="str">
        <f aca="false">IF(B136="","",IFERROR(COUNTIF(J136:Q136,"بله")/(COUNTIF(J136:Q136,"بله")+COUNTIF(J136:Q136,"خیر")),""))</f>
        <v/>
      </c>
      <c r="AB136" s="14" t="str">
        <f aca="false">IF(B136="","",IF(Z136="مطابق",0,IF(Z136="مطابق، دوز مازاد",N(X136)*N(W136),(N(R136)-N(T136))*N(W136))))</f>
        <v/>
      </c>
      <c r="AC136" s="12"/>
      <c r="AD136" s="12"/>
      <c r="AE136" s="10" t="str">
        <f aca="false">IF(B136="","",IF(AND(N(AC136)&gt;0,NOT(OR(Z136="مطابق",Z136="مطابق، دوز مازاد"))),"ریسک کسورات",IF(AND(OR(Z136="مطابق",Z136="مطابق، دوز مازاد"),N(AC136)=0,D136&lt;&gt;"آزاد",D136&lt;&gt;""),"بررسی امکان دریافت از بیمه","")))</f>
        <v/>
      </c>
      <c r="AF136" s="11"/>
    </row>
    <row r="137" customFormat="false" ht="15" hidden="false" customHeight="false" outlineLevel="0" collapsed="false">
      <c r="A137" s="10" t="str">
        <f aca="false">IF(B137="","",ROW()-2)</f>
        <v/>
      </c>
      <c r="B137" s="11"/>
      <c r="C137" s="11"/>
      <c r="D137" s="11"/>
      <c r="E137" s="11"/>
      <c r="F137" s="11"/>
      <c r="G137" s="11"/>
      <c r="H137" s="10" t="str">
        <f aca="false">IF(G137="","",IFERROR(INDEX('اندیکاسیون‌ها'!$C$3:$C$22,MATCH(G137,'اندیکاسیون‌ها'!$A$3:$A$22,0)),"کد نامعتبر"))</f>
        <v/>
      </c>
      <c r="I137" s="10" t="str">
        <f aca="false">IF(G137="","",IFERROR(INDEX('اندیکاسیون‌ها'!$B$3:$B$22,MATCH(G137,'اندیکاسیون‌ها'!$A$3:$A$22,0)),""))</f>
        <v/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0" t="str">
        <f aca="false">IF(G137="","",IFERROR(INDEX('اندیکاسیون‌ها'!$F$3:$F$22,MATCH(G137,'اندیکاسیون‌ها'!$A$3:$A$22,0)),""))</f>
        <v/>
      </c>
      <c r="V137" s="11"/>
      <c r="W137" s="12"/>
      <c r="X137" s="10" t="str">
        <f aca="false">IF(OR(B137="",IF(V137&lt;&gt;"",V137,U137)=""),"",MAX(0,N(R137)-N(T137)-IF(V137&lt;&gt;"",V137,U137)))</f>
        <v/>
      </c>
      <c r="Y137" s="10" t="str">
        <f aca="false">IF(B137="","",N(R137)-N(S137)-N(T137))</f>
        <v/>
      </c>
      <c r="Z137" s="10" t="str">
        <f aca="false">IF(B137="","",IF(OR(G137="",G137="U0"),"اندیکاسیون نامشخص",IF(I137="بدون اندیکاسیون","بدون اندیکاسیون",IF(AND(I137="خارج از جدول",P137&lt;&gt;"بله"),"خارج از جدول بدون تأیید",IF(L137&lt;&gt;"بله","معیار مستند نشده",IF(N(X137)&gt;0,"مطابق، دوز مازاد","مطابق"))))))</f>
        <v/>
      </c>
      <c r="AA137" s="13" t="str">
        <f aca="false">IF(B137="","",IFERROR(COUNTIF(J137:Q137,"بله")/(COUNTIF(J137:Q137,"بله")+COUNTIF(J137:Q137,"خیر")),""))</f>
        <v/>
      </c>
      <c r="AB137" s="14" t="str">
        <f aca="false">IF(B137="","",IF(Z137="مطابق",0,IF(Z137="مطابق، دوز مازاد",N(X137)*N(W137),(N(R137)-N(T137))*N(W137))))</f>
        <v/>
      </c>
      <c r="AC137" s="12"/>
      <c r="AD137" s="12"/>
      <c r="AE137" s="10" t="str">
        <f aca="false">IF(B137="","",IF(AND(N(AC137)&gt;0,NOT(OR(Z137="مطابق",Z137="مطابق، دوز مازاد"))),"ریسک کسورات",IF(AND(OR(Z137="مطابق",Z137="مطابق، دوز مازاد"),N(AC137)=0,D137&lt;&gt;"آزاد",D137&lt;&gt;""),"بررسی امکان دریافت از بیمه","")))</f>
        <v/>
      </c>
      <c r="AF137" s="11"/>
    </row>
    <row r="138" customFormat="false" ht="15" hidden="false" customHeight="false" outlineLevel="0" collapsed="false">
      <c r="A138" s="10" t="str">
        <f aca="false">IF(B138="","",ROW()-2)</f>
        <v/>
      </c>
      <c r="B138" s="11"/>
      <c r="C138" s="11"/>
      <c r="D138" s="11"/>
      <c r="E138" s="11"/>
      <c r="F138" s="11"/>
      <c r="G138" s="11"/>
      <c r="H138" s="10" t="str">
        <f aca="false">IF(G138="","",IFERROR(INDEX('اندیکاسیون‌ها'!$C$3:$C$22,MATCH(G138,'اندیکاسیون‌ها'!$A$3:$A$22,0)),"کد نامعتبر"))</f>
        <v/>
      </c>
      <c r="I138" s="10" t="str">
        <f aca="false">IF(G138="","",IFERROR(INDEX('اندیکاسیون‌ها'!$B$3:$B$22,MATCH(G138,'اندیکاسیون‌ها'!$A$3:$A$22,0)),""))</f>
        <v/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0" t="str">
        <f aca="false">IF(G138="","",IFERROR(INDEX('اندیکاسیون‌ها'!$F$3:$F$22,MATCH(G138,'اندیکاسیون‌ها'!$A$3:$A$22,0)),""))</f>
        <v/>
      </c>
      <c r="V138" s="11"/>
      <c r="W138" s="12"/>
      <c r="X138" s="10" t="str">
        <f aca="false">IF(OR(B138="",IF(V138&lt;&gt;"",V138,U138)=""),"",MAX(0,N(R138)-N(T138)-IF(V138&lt;&gt;"",V138,U138)))</f>
        <v/>
      </c>
      <c r="Y138" s="10" t="str">
        <f aca="false">IF(B138="","",N(R138)-N(S138)-N(T138))</f>
        <v/>
      </c>
      <c r="Z138" s="10" t="str">
        <f aca="false">IF(B138="","",IF(OR(G138="",G138="U0"),"اندیکاسیون نامشخص",IF(I138="بدون اندیکاسیون","بدون اندیکاسیون",IF(AND(I138="خارج از جدول",P138&lt;&gt;"بله"),"خارج از جدول بدون تأیید",IF(L138&lt;&gt;"بله","معیار مستند نشده",IF(N(X138)&gt;0,"مطابق، دوز مازاد","مطابق"))))))</f>
        <v/>
      </c>
      <c r="AA138" s="13" t="str">
        <f aca="false">IF(B138="","",IFERROR(COUNTIF(J138:Q138,"بله")/(COUNTIF(J138:Q138,"بله")+COUNTIF(J138:Q138,"خیر")),""))</f>
        <v/>
      </c>
      <c r="AB138" s="14" t="str">
        <f aca="false">IF(B138="","",IF(Z138="مطابق",0,IF(Z138="مطابق، دوز مازاد",N(X138)*N(W138),(N(R138)-N(T138))*N(W138))))</f>
        <v/>
      </c>
      <c r="AC138" s="12"/>
      <c r="AD138" s="12"/>
      <c r="AE138" s="10" t="str">
        <f aca="false">IF(B138="","",IF(AND(N(AC138)&gt;0,NOT(OR(Z138="مطابق",Z138="مطابق، دوز مازاد"))),"ریسک کسورات",IF(AND(OR(Z138="مطابق",Z138="مطابق، دوز مازاد"),N(AC138)=0,D138&lt;&gt;"آزاد",D138&lt;&gt;""),"بررسی امکان دریافت از بیمه","")))</f>
        <v/>
      </c>
      <c r="AF138" s="11"/>
    </row>
    <row r="139" customFormat="false" ht="15" hidden="false" customHeight="false" outlineLevel="0" collapsed="false">
      <c r="A139" s="10" t="str">
        <f aca="false">IF(B139="","",ROW()-2)</f>
        <v/>
      </c>
      <c r="B139" s="11"/>
      <c r="C139" s="11"/>
      <c r="D139" s="11"/>
      <c r="E139" s="11"/>
      <c r="F139" s="11"/>
      <c r="G139" s="11"/>
      <c r="H139" s="10" t="str">
        <f aca="false">IF(G139="","",IFERROR(INDEX('اندیکاسیون‌ها'!$C$3:$C$22,MATCH(G139,'اندیکاسیون‌ها'!$A$3:$A$22,0)),"کد نامعتبر"))</f>
        <v/>
      </c>
      <c r="I139" s="10" t="str">
        <f aca="false">IF(G139="","",IFERROR(INDEX('اندیکاسیون‌ها'!$B$3:$B$22,MATCH(G139,'اندیکاسیون‌ها'!$A$3:$A$22,0)),""))</f>
        <v/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0" t="str">
        <f aca="false">IF(G139="","",IFERROR(INDEX('اندیکاسیون‌ها'!$F$3:$F$22,MATCH(G139,'اندیکاسیون‌ها'!$A$3:$A$22,0)),""))</f>
        <v/>
      </c>
      <c r="V139" s="11"/>
      <c r="W139" s="12"/>
      <c r="X139" s="10" t="str">
        <f aca="false">IF(OR(B139="",IF(V139&lt;&gt;"",V139,U139)=""),"",MAX(0,N(R139)-N(T139)-IF(V139&lt;&gt;"",V139,U139)))</f>
        <v/>
      </c>
      <c r="Y139" s="10" t="str">
        <f aca="false">IF(B139="","",N(R139)-N(S139)-N(T139))</f>
        <v/>
      </c>
      <c r="Z139" s="10" t="str">
        <f aca="false">IF(B139="","",IF(OR(G139="",G139="U0"),"اندیکاسیون نامشخص",IF(I139="بدون اندیکاسیون","بدون اندیکاسیون",IF(AND(I139="خارج از جدول",P139&lt;&gt;"بله"),"خارج از جدول بدون تأیید",IF(L139&lt;&gt;"بله","معیار مستند نشده",IF(N(X139)&gt;0,"مطابق، دوز مازاد","مطابق"))))))</f>
        <v/>
      </c>
      <c r="AA139" s="13" t="str">
        <f aca="false">IF(B139="","",IFERROR(COUNTIF(J139:Q139,"بله")/(COUNTIF(J139:Q139,"بله")+COUNTIF(J139:Q139,"خیر")),""))</f>
        <v/>
      </c>
      <c r="AB139" s="14" t="str">
        <f aca="false">IF(B139="","",IF(Z139="مطابق",0,IF(Z139="مطابق، دوز مازاد",N(X139)*N(W139),(N(R139)-N(T139))*N(W139))))</f>
        <v/>
      </c>
      <c r="AC139" s="12"/>
      <c r="AD139" s="12"/>
      <c r="AE139" s="10" t="str">
        <f aca="false">IF(B139="","",IF(AND(N(AC139)&gt;0,NOT(OR(Z139="مطابق",Z139="مطابق، دوز مازاد"))),"ریسک کسورات",IF(AND(OR(Z139="مطابق",Z139="مطابق، دوز مازاد"),N(AC139)=0,D139&lt;&gt;"آزاد",D139&lt;&gt;""),"بررسی امکان دریافت از بیمه","")))</f>
        <v/>
      </c>
      <c r="AF139" s="11"/>
    </row>
    <row r="140" customFormat="false" ht="15" hidden="false" customHeight="false" outlineLevel="0" collapsed="false">
      <c r="A140" s="10" t="str">
        <f aca="false">IF(B140="","",ROW()-2)</f>
        <v/>
      </c>
      <c r="B140" s="11"/>
      <c r="C140" s="11"/>
      <c r="D140" s="11"/>
      <c r="E140" s="11"/>
      <c r="F140" s="11"/>
      <c r="G140" s="11"/>
      <c r="H140" s="10" t="str">
        <f aca="false">IF(G140="","",IFERROR(INDEX('اندیکاسیون‌ها'!$C$3:$C$22,MATCH(G140,'اندیکاسیون‌ها'!$A$3:$A$22,0)),"کد نامعتبر"))</f>
        <v/>
      </c>
      <c r="I140" s="10" t="str">
        <f aca="false">IF(G140="","",IFERROR(INDEX('اندیکاسیون‌ها'!$B$3:$B$22,MATCH(G140,'اندیکاسیون‌ها'!$A$3:$A$22,0)),""))</f>
        <v/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0" t="str">
        <f aca="false">IF(G140="","",IFERROR(INDEX('اندیکاسیون‌ها'!$F$3:$F$22,MATCH(G140,'اندیکاسیون‌ها'!$A$3:$A$22,0)),""))</f>
        <v/>
      </c>
      <c r="V140" s="11"/>
      <c r="W140" s="12"/>
      <c r="X140" s="10" t="str">
        <f aca="false">IF(OR(B140="",IF(V140&lt;&gt;"",V140,U140)=""),"",MAX(0,N(R140)-N(T140)-IF(V140&lt;&gt;"",V140,U140)))</f>
        <v/>
      </c>
      <c r="Y140" s="10" t="str">
        <f aca="false">IF(B140="","",N(R140)-N(S140)-N(T140))</f>
        <v/>
      </c>
      <c r="Z140" s="10" t="str">
        <f aca="false">IF(B140="","",IF(OR(G140="",G140="U0"),"اندیکاسیون نامشخص",IF(I140="بدون اندیکاسیون","بدون اندیکاسیون",IF(AND(I140="خارج از جدول",P140&lt;&gt;"بله"),"خارج از جدول بدون تأیید",IF(L140&lt;&gt;"بله","معیار مستند نشده",IF(N(X140)&gt;0,"مطابق، دوز مازاد","مطابق"))))))</f>
        <v/>
      </c>
      <c r="AA140" s="13" t="str">
        <f aca="false">IF(B140="","",IFERROR(COUNTIF(J140:Q140,"بله")/(COUNTIF(J140:Q140,"بله")+COUNTIF(J140:Q140,"خیر")),""))</f>
        <v/>
      </c>
      <c r="AB140" s="14" t="str">
        <f aca="false">IF(B140="","",IF(Z140="مطابق",0,IF(Z140="مطابق، دوز مازاد",N(X140)*N(W140),(N(R140)-N(T140))*N(W140))))</f>
        <v/>
      </c>
      <c r="AC140" s="12"/>
      <c r="AD140" s="12"/>
      <c r="AE140" s="10" t="str">
        <f aca="false">IF(B140="","",IF(AND(N(AC140)&gt;0,NOT(OR(Z140="مطابق",Z140="مطابق، دوز مازاد"))),"ریسک کسورات",IF(AND(OR(Z140="مطابق",Z140="مطابق، دوز مازاد"),N(AC140)=0,D140&lt;&gt;"آزاد",D140&lt;&gt;""),"بررسی امکان دریافت از بیمه","")))</f>
        <v/>
      </c>
      <c r="AF140" s="11"/>
    </row>
    <row r="141" customFormat="false" ht="15" hidden="false" customHeight="false" outlineLevel="0" collapsed="false">
      <c r="A141" s="10" t="str">
        <f aca="false">IF(B141="","",ROW()-2)</f>
        <v/>
      </c>
      <c r="B141" s="11"/>
      <c r="C141" s="11"/>
      <c r="D141" s="11"/>
      <c r="E141" s="11"/>
      <c r="F141" s="11"/>
      <c r="G141" s="11"/>
      <c r="H141" s="10" t="str">
        <f aca="false">IF(G141="","",IFERROR(INDEX('اندیکاسیون‌ها'!$C$3:$C$22,MATCH(G141,'اندیکاسیون‌ها'!$A$3:$A$22,0)),"کد نامعتبر"))</f>
        <v/>
      </c>
      <c r="I141" s="10" t="str">
        <f aca="false">IF(G141="","",IFERROR(INDEX('اندیکاسیون‌ها'!$B$3:$B$22,MATCH(G141,'اندیکاسیون‌ها'!$A$3:$A$22,0)),""))</f>
        <v/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0" t="str">
        <f aca="false">IF(G141="","",IFERROR(INDEX('اندیکاسیون‌ها'!$F$3:$F$22,MATCH(G141,'اندیکاسیون‌ها'!$A$3:$A$22,0)),""))</f>
        <v/>
      </c>
      <c r="V141" s="11"/>
      <c r="W141" s="12"/>
      <c r="X141" s="10" t="str">
        <f aca="false">IF(OR(B141="",IF(V141&lt;&gt;"",V141,U141)=""),"",MAX(0,N(R141)-N(T141)-IF(V141&lt;&gt;"",V141,U141)))</f>
        <v/>
      </c>
      <c r="Y141" s="10" t="str">
        <f aca="false">IF(B141="","",N(R141)-N(S141)-N(T141))</f>
        <v/>
      </c>
      <c r="Z141" s="10" t="str">
        <f aca="false">IF(B141="","",IF(OR(G141="",G141="U0"),"اندیکاسیون نامشخص",IF(I141="بدون اندیکاسیون","بدون اندیکاسیون",IF(AND(I141="خارج از جدول",P141&lt;&gt;"بله"),"خارج از جدول بدون تأیید",IF(L141&lt;&gt;"بله","معیار مستند نشده",IF(N(X141)&gt;0,"مطابق، دوز مازاد","مطابق"))))))</f>
        <v/>
      </c>
      <c r="AA141" s="13" t="str">
        <f aca="false">IF(B141="","",IFERROR(COUNTIF(J141:Q141,"بله")/(COUNTIF(J141:Q141,"بله")+COUNTIF(J141:Q141,"خیر")),""))</f>
        <v/>
      </c>
      <c r="AB141" s="14" t="str">
        <f aca="false">IF(B141="","",IF(Z141="مطابق",0,IF(Z141="مطابق، دوز مازاد",N(X141)*N(W141),(N(R141)-N(T141))*N(W141))))</f>
        <v/>
      </c>
      <c r="AC141" s="12"/>
      <c r="AD141" s="12"/>
      <c r="AE141" s="10" t="str">
        <f aca="false">IF(B141="","",IF(AND(N(AC141)&gt;0,NOT(OR(Z141="مطابق",Z141="مطابق، دوز مازاد"))),"ریسک کسورات",IF(AND(OR(Z141="مطابق",Z141="مطابق، دوز مازاد"),N(AC141)=0,D141&lt;&gt;"آزاد",D141&lt;&gt;""),"بررسی امکان دریافت از بیمه","")))</f>
        <v/>
      </c>
      <c r="AF141" s="11"/>
    </row>
    <row r="142" customFormat="false" ht="15" hidden="false" customHeight="false" outlineLevel="0" collapsed="false">
      <c r="A142" s="10" t="str">
        <f aca="false">IF(B142="","",ROW()-2)</f>
        <v/>
      </c>
      <c r="B142" s="11"/>
      <c r="C142" s="11"/>
      <c r="D142" s="11"/>
      <c r="E142" s="11"/>
      <c r="F142" s="11"/>
      <c r="G142" s="11"/>
      <c r="H142" s="10" t="str">
        <f aca="false">IF(G142="","",IFERROR(INDEX('اندیکاسیون‌ها'!$C$3:$C$22,MATCH(G142,'اندیکاسیون‌ها'!$A$3:$A$22,0)),"کد نامعتبر"))</f>
        <v/>
      </c>
      <c r="I142" s="10" t="str">
        <f aca="false">IF(G142="","",IFERROR(INDEX('اندیکاسیون‌ها'!$B$3:$B$22,MATCH(G142,'اندیکاسیون‌ها'!$A$3:$A$22,0)),""))</f>
        <v/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0" t="str">
        <f aca="false">IF(G142="","",IFERROR(INDEX('اندیکاسیون‌ها'!$F$3:$F$22,MATCH(G142,'اندیکاسیون‌ها'!$A$3:$A$22,0)),""))</f>
        <v/>
      </c>
      <c r="V142" s="11"/>
      <c r="W142" s="12"/>
      <c r="X142" s="10" t="str">
        <f aca="false">IF(OR(B142="",IF(V142&lt;&gt;"",V142,U142)=""),"",MAX(0,N(R142)-N(T142)-IF(V142&lt;&gt;"",V142,U142)))</f>
        <v/>
      </c>
      <c r="Y142" s="10" t="str">
        <f aca="false">IF(B142="","",N(R142)-N(S142)-N(T142))</f>
        <v/>
      </c>
      <c r="Z142" s="10" t="str">
        <f aca="false">IF(B142="","",IF(OR(G142="",G142="U0"),"اندیکاسیون نامشخص",IF(I142="بدون اندیکاسیون","بدون اندیکاسیون",IF(AND(I142="خارج از جدول",P142&lt;&gt;"بله"),"خارج از جدول بدون تأیید",IF(L142&lt;&gt;"بله","معیار مستند نشده",IF(N(X142)&gt;0,"مطابق، دوز مازاد","مطابق"))))))</f>
        <v/>
      </c>
      <c r="AA142" s="13" t="str">
        <f aca="false">IF(B142="","",IFERROR(COUNTIF(J142:Q142,"بله")/(COUNTIF(J142:Q142,"بله")+COUNTIF(J142:Q142,"خیر")),""))</f>
        <v/>
      </c>
      <c r="AB142" s="14" t="str">
        <f aca="false">IF(B142="","",IF(Z142="مطابق",0,IF(Z142="مطابق، دوز مازاد",N(X142)*N(W142),(N(R142)-N(T142))*N(W142))))</f>
        <v/>
      </c>
      <c r="AC142" s="12"/>
      <c r="AD142" s="12"/>
      <c r="AE142" s="10" t="str">
        <f aca="false">IF(B142="","",IF(AND(N(AC142)&gt;0,NOT(OR(Z142="مطابق",Z142="مطابق، دوز مازاد"))),"ریسک کسورات",IF(AND(OR(Z142="مطابق",Z142="مطابق، دوز مازاد"),N(AC142)=0,D142&lt;&gt;"آزاد",D142&lt;&gt;""),"بررسی امکان دریافت از بیمه","")))</f>
        <v/>
      </c>
      <c r="AF142" s="11"/>
    </row>
    <row r="143" customFormat="false" ht="15" hidden="false" customHeight="false" outlineLevel="0" collapsed="false">
      <c r="A143" s="10" t="str">
        <f aca="false">IF(B143="","",ROW()-2)</f>
        <v/>
      </c>
      <c r="B143" s="11"/>
      <c r="C143" s="11"/>
      <c r="D143" s="11"/>
      <c r="E143" s="11"/>
      <c r="F143" s="11"/>
      <c r="G143" s="11"/>
      <c r="H143" s="10" t="str">
        <f aca="false">IF(G143="","",IFERROR(INDEX('اندیکاسیون‌ها'!$C$3:$C$22,MATCH(G143,'اندیکاسیون‌ها'!$A$3:$A$22,0)),"کد نامعتبر"))</f>
        <v/>
      </c>
      <c r="I143" s="10" t="str">
        <f aca="false">IF(G143="","",IFERROR(INDEX('اندیکاسیون‌ها'!$B$3:$B$22,MATCH(G143,'اندیکاسیون‌ها'!$A$3:$A$22,0)),""))</f>
        <v/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0" t="str">
        <f aca="false">IF(G143="","",IFERROR(INDEX('اندیکاسیون‌ها'!$F$3:$F$22,MATCH(G143,'اندیکاسیون‌ها'!$A$3:$A$22,0)),""))</f>
        <v/>
      </c>
      <c r="V143" s="11"/>
      <c r="W143" s="12"/>
      <c r="X143" s="10" t="str">
        <f aca="false">IF(OR(B143="",IF(V143&lt;&gt;"",V143,U143)=""),"",MAX(0,N(R143)-N(T143)-IF(V143&lt;&gt;"",V143,U143)))</f>
        <v/>
      </c>
      <c r="Y143" s="10" t="str">
        <f aca="false">IF(B143="","",N(R143)-N(S143)-N(T143))</f>
        <v/>
      </c>
      <c r="Z143" s="10" t="str">
        <f aca="false">IF(B143="","",IF(OR(G143="",G143="U0"),"اندیکاسیون نامشخص",IF(I143="بدون اندیکاسیون","بدون اندیکاسیون",IF(AND(I143="خارج از جدول",P143&lt;&gt;"بله"),"خارج از جدول بدون تأیید",IF(L143&lt;&gt;"بله","معیار مستند نشده",IF(N(X143)&gt;0,"مطابق، دوز مازاد","مطابق"))))))</f>
        <v/>
      </c>
      <c r="AA143" s="13" t="str">
        <f aca="false">IF(B143="","",IFERROR(COUNTIF(J143:Q143,"بله")/(COUNTIF(J143:Q143,"بله")+COUNTIF(J143:Q143,"خیر")),""))</f>
        <v/>
      </c>
      <c r="AB143" s="14" t="str">
        <f aca="false">IF(B143="","",IF(Z143="مطابق",0,IF(Z143="مطابق، دوز مازاد",N(X143)*N(W143),(N(R143)-N(T143))*N(W143))))</f>
        <v/>
      </c>
      <c r="AC143" s="12"/>
      <c r="AD143" s="12"/>
      <c r="AE143" s="10" t="str">
        <f aca="false">IF(B143="","",IF(AND(N(AC143)&gt;0,NOT(OR(Z143="مطابق",Z143="مطابق، دوز مازاد"))),"ریسک کسورات",IF(AND(OR(Z143="مطابق",Z143="مطابق، دوز مازاد"),N(AC143)=0,D143&lt;&gt;"آزاد",D143&lt;&gt;""),"بررسی امکان دریافت از بیمه","")))</f>
        <v/>
      </c>
      <c r="AF143" s="11"/>
    </row>
    <row r="144" customFormat="false" ht="15" hidden="false" customHeight="false" outlineLevel="0" collapsed="false">
      <c r="A144" s="10" t="str">
        <f aca="false">IF(B144="","",ROW()-2)</f>
        <v/>
      </c>
      <c r="B144" s="11"/>
      <c r="C144" s="11"/>
      <c r="D144" s="11"/>
      <c r="E144" s="11"/>
      <c r="F144" s="11"/>
      <c r="G144" s="11"/>
      <c r="H144" s="10" t="str">
        <f aca="false">IF(G144="","",IFERROR(INDEX('اندیکاسیون‌ها'!$C$3:$C$22,MATCH(G144,'اندیکاسیون‌ها'!$A$3:$A$22,0)),"کد نامعتبر"))</f>
        <v/>
      </c>
      <c r="I144" s="10" t="str">
        <f aca="false">IF(G144="","",IFERROR(INDEX('اندیکاسیون‌ها'!$B$3:$B$22,MATCH(G144,'اندیکاسیون‌ها'!$A$3:$A$22,0)),""))</f>
        <v/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0" t="str">
        <f aca="false">IF(G144="","",IFERROR(INDEX('اندیکاسیون‌ها'!$F$3:$F$22,MATCH(G144,'اندیکاسیون‌ها'!$A$3:$A$22,0)),""))</f>
        <v/>
      </c>
      <c r="V144" s="11"/>
      <c r="W144" s="12"/>
      <c r="X144" s="10" t="str">
        <f aca="false">IF(OR(B144="",IF(V144&lt;&gt;"",V144,U144)=""),"",MAX(0,N(R144)-N(T144)-IF(V144&lt;&gt;"",V144,U144)))</f>
        <v/>
      </c>
      <c r="Y144" s="10" t="str">
        <f aca="false">IF(B144="","",N(R144)-N(S144)-N(T144))</f>
        <v/>
      </c>
      <c r="Z144" s="10" t="str">
        <f aca="false">IF(B144="","",IF(OR(G144="",G144="U0"),"اندیکاسیون نامشخص",IF(I144="بدون اندیکاسیون","بدون اندیکاسیون",IF(AND(I144="خارج از جدول",P144&lt;&gt;"بله"),"خارج از جدول بدون تأیید",IF(L144&lt;&gt;"بله","معیار مستند نشده",IF(N(X144)&gt;0,"مطابق، دوز مازاد","مطابق"))))))</f>
        <v/>
      </c>
      <c r="AA144" s="13" t="str">
        <f aca="false">IF(B144="","",IFERROR(COUNTIF(J144:Q144,"بله")/(COUNTIF(J144:Q144,"بله")+COUNTIF(J144:Q144,"خیر")),""))</f>
        <v/>
      </c>
      <c r="AB144" s="14" t="str">
        <f aca="false">IF(B144="","",IF(Z144="مطابق",0,IF(Z144="مطابق، دوز مازاد",N(X144)*N(W144),(N(R144)-N(T144))*N(W144))))</f>
        <v/>
      </c>
      <c r="AC144" s="12"/>
      <c r="AD144" s="12"/>
      <c r="AE144" s="10" t="str">
        <f aca="false">IF(B144="","",IF(AND(N(AC144)&gt;0,NOT(OR(Z144="مطابق",Z144="مطابق، دوز مازاد"))),"ریسک کسورات",IF(AND(OR(Z144="مطابق",Z144="مطابق، دوز مازاد"),N(AC144)=0,D144&lt;&gt;"آزاد",D144&lt;&gt;""),"بررسی امکان دریافت از بیمه","")))</f>
        <v/>
      </c>
      <c r="AF144" s="11"/>
    </row>
    <row r="145" customFormat="false" ht="15" hidden="false" customHeight="false" outlineLevel="0" collapsed="false">
      <c r="A145" s="10" t="str">
        <f aca="false">IF(B145="","",ROW()-2)</f>
        <v/>
      </c>
      <c r="B145" s="11"/>
      <c r="C145" s="11"/>
      <c r="D145" s="11"/>
      <c r="E145" s="11"/>
      <c r="F145" s="11"/>
      <c r="G145" s="11"/>
      <c r="H145" s="10" t="str">
        <f aca="false">IF(G145="","",IFERROR(INDEX('اندیکاسیون‌ها'!$C$3:$C$22,MATCH(G145,'اندیکاسیون‌ها'!$A$3:$A$22,0)),"کد نامعتبر"))</f>
        <v/>
      </c>
      <c r="I145" s="10" t="str">
        <f aca="false">IF(G145="","",IFERROR(INDEX('اندیکاسیون‌ها'!$B$3:$B$22,MATCH(G145,'اندیکاسیون‌ها'!$A$3:$A$22,0)),""))</f>
        <v/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0" t="str">
        <f aca="false">IF(G145="","",IFERROR(INDEX('اندیکاسیون‌ها'!$F$3:$F$22,MATCH(G145,'اندیکاسیون‌ها'!$A$3:$A$22,0)),""))</f>
        <v/>
      </c>
      <c r="V145" s="11"/>
      <c r="W145" s="12"/>
      <c r="X145" s="10" t="str">
        <f aca="false">IF(OR(B145="",IF(V145&lt;&gt;"",V145,U145)=""),"",MAX(0,N(R145)-N(T145)-IF(V145&lt;&gt;"",V145,U145)))</f>
        <v/>
      </c>
      <c r="Y145" s="10" t="str">
        <f aca="false">IF(B145="","",N(R145)-N(S145)-N(T145))</f>
        <v/>
      </c>
      <c r="Z145" s="10" t="str">
        <f aca="false">IF(B145="","",IF(OR(G145="",G145="U0"),"اندیکاسیون نامشخص",IF(I145="بدون اندیکاسیون","بدون اندیکاسیون",IF(AND(I145="خارج از جدول",P145&lt;&gt;"بله"),"خارج از جدول بدون تأیید",IF(L145&lt;&gt;"بله","معیار مستند نشده",IF(N(X145)&gt;0,"مطابق، دوز مازاد","مطابق"))))))</f>
        <v/>
      </c>
      <c r="AA145" s="13" t="str">
        <f aca="false">IF(B145="","",IFERROR(COUNTIF(J145:Q145,"بله")/(COUNTIF(J145:Q145,"بله")+COUNTIF(J145:Q145,"خیر")),""))</f>
        <v/>
      </c>
      <c r="AB145" s="14" t="str">
        <f aca="false">IF(B145="","",IF(Z145="مطابق",0,IF(Z145="مطابق، دوز مازاد",N(X145)*N(W145),(N(R145)-N(T145))*N(W145))))</f>
        <v/>
      </c>
      <c r="AC145" s="12"/>
      <c r="AD145" s="12"/>
      <c r="AE145" s="10" t="str">
        <f aca="false">IF(B145="","",IF(AND(N(AC145)&gt;0,NOT(OR(Z145="مطابق",Z145="مطابق، دوز مازاد"))),"ریسک کسورات",IF(AND(OR(Z145="مطابق",Z145="مطابق، دوز مازاد"),N(AC145)=0,D145&lt;&gt;"آزاد",D145&lt;&gt;""),"بررسی امکان دریافت از بیمه","")))</f>
        <v/>
      </c>
      <c r="AF145" s="11"/>
    </row>
    <row r="146" customFormat="false" ht="15" hidden="false" customHeight="false" outlineLevel="0" collapsed="false">
      <c r="A146" s="10" t="str">
        <f aca="false">IF(B146="","",ROW()-2)</f>
        <v/>
      </c>
      <c r="B146" s="11"/>
      <c r="C146" s="11"/>
      <c r="D146" s="11"/>
      <c r="E146" s="11"/>
      <c r="F146" s="11"/>
      <c r="G146" s="11"/>
      <c r="H146" s="10" t="str">
        <f aca="false">IF(G146="","",IFERROR(INDEX('اندیکاسیون‌ها'!$C$3:$C$22,MATCH(G146,'اندیکاسیون‌ها'!$A$3:$A$22,0)),"کد نامعتبر"))</f>
        <v/>
      </c>
      <c r="I146" s="10" t="str">
        <f aca="false">IF(G146="","",IFERROR(INDEX('اندیکاسیون‌ها'!$B$3:$B$22,MATCH(G146,'اندیکاسیون‌ها'!$A$3:$A$22,0)),""))</f>
        <v/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0" t="str">
        <f aca="false">IF(G146="","",IFERROR(INDEX('اندیکاسیون‌ها'!$F$3:$F$22,MATCH(G146,'اندیکاسیون‌ها'!$A$3:$A$22,0)),""))</f>
        <v/>
      </c>
      <c r="V146" s="11"/>
      <c r="W146" s="12"/>
      <c r="X146" s="10" t="str">
        <f aca="false">IF(OR(B146="",IF(V146&lt;&gt;"",V146,U146)=""),"",MAX(0,N(R146)-N(T146)-IF(V146&lt;&gt;"",V146,U146)))</f>
        <v/>
      </c>
      <c r="Y146" s="10" t="str">
        <f aca="false">IF(B146="","",N(R146)-N(S146)-N(T146))</f>
        <v/>
      </c>
      <c r="Z146" s="10" t="str">
        <f aca="false">IF(B146="","",IF(OR(G146="",G146="U0"),"اندیکاسیون نامشخص",IF(I146="بدون اندیکاسیون","بدون اندیکاسیون",IF(AND(I146="خارج از جدول",P146&lt;&gt;"بله"),"خارج از جدول بدون تأیید",IF(L146&lt;&gt;"بله","معیار مستند نشده",IF(N(X146)&gt;0,"مطابق، دوز مازاد","مطابق"))))))</f>
        <v/>
      </c>
      <c r="AA146" s="13" t="str">
        <f aca="false">IF(B146="","",IFERROR(COUNTIF(J146:Q146,"بله")/(COUNTIF(J146:Q146,"بله")+COUNTIF(J146:Q146,"خیر")),""))</f>
        <v/>
      </c>
      <c r="AB146" s="14" t="str">
        <f aca="false">IF(B146="","",IF(Z146="مطابق",0,IF(Z146="مطابق، دوز مازاد",N(X146)*N(W146),(N(R146)-N(T146))*N(W146))))</f>
        <v/>
      </c>
      <c r="AC146" s="12"/>
      <c r="AD146" s="12"/>
      <c r="AE146" s="10" t="str">
        <f aca="false">IF(B146="","",IF(AND(N(AC146)&gt;0,NOT(OR(Z146="مطابق",Z146="مطابق، دوز مازاد"))),"ریسک کسورات",IF(AND(OR(Z146="مطابق",Z146="مطابق، دوز مازاد"),N(AC146)=0,D146&lt;&gt;"آزاد",D146&lt;&gt;""),"بررسی امکان دریافت از بیمه","")))</f>
        <v/>
      </c>
      <c r="AF146" s="11"/>
    </row>
    <row r="147" customFormat="false" ht="15" hidden="false" customHeight="false" outlineLevel="0" collapsed="false">
      <c r="A147" s="10" t="str">
        <f aca="false">IF(B147="","",ROW()-2)</f>
        <v/>
      </c>
      <c r="B147" s="11"/>
      <c r="C147" s="11"/>
      <c r="D147" s="11"/>
      <c r="E147" s="11"/>
      <c r="F147" s="11"/>
      <c r="G147" s="11"/>
      <c r="H147" s="10" t="str">
        <f aca="false">IF(G147="","",IFERROR(INDEX('اندیکاسیون‌ها'!$C$3:$C$22,MATCH(G147,'اندیکاسیون‌ها'!$A$3:$A$22,0)),"کد نامعتبر"))</f>
        <v/>
      </c>
      <c r="I147" s="10" t="str">
        <f aca="false">IF(G147="","",IFERROR(INDEX('اندیکاسیون‌ها'!$B$3:$B$22,MATCH(G147,'اندیکاسیون‌ها'!$A$3:$A$22,0)),""))</f>
        <v/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0" t="str">
        <f aca="false">IF(G147="","",IFERROR(INDEX('اندیکاسیون‌ها'!$F$3:$F$22,MATCH(G147,'اندیکاسیون‌ها'!$A$3:$A$22,0)),""))</f>
        <v/>
      </c>
      <c r="V147" s="11"/>
      <c r="W147" s="12"/>
      <c r="X147" s="10" t="str">
        <f aca="false">IF(OR(B147="",IF(V147&lt;&gt;"",V147,U147)=""),"",MAX(0,N(R147)-N(T147)-IF(V147&lt;&gt;"",V147,U147)))</f>
        <v/>
      </c>
      <c r="Y147" s="10" t="str">
        <f aca="false">IF(B147="","",N(R147)-N(S147)-N(T147))</f>
        <v/>
      </c>
      <c r="Z147" s="10" t="str">
        <f aca="false">IF(B147="","",IF(OR(G147="",G147="U0"),"اندیکاسیون نامشخص",IF(I147="بدون اندیکاسیون","بدون اندیکاسیون",IF(AND(I147="خارج از جدول",P147&lt;&gt;"بله"),"خارج از جدول بدون تأیید",IF(L147&lt;&gt;"بله","معیار مستند نشده",IF(N(X147)&gt;0,"مطابق، دوز مازاد","مطابق"))))))</f>
        <v/>
      </c>
      <c r="AA147" s="13" t="str">
        <f aca="false">IF(B147="","",IFERROR(COUNTIF(J147:Q147,"بله")/(COUNTIF(J147:Q147,"بله")+COUNTIF(J147:Q147,"خیر")),""))</f>
        <v/>
      </c>
      <c r="AB147" s="14" t="str">
        <f aca="false">IF(B147="","",IF(Z147="مطابق",0,IF(Z147="مطابق، دوز مازاد",N(X147)*N(W147),(N(R147)-N(T147))*N(W147))))</f>
        <v/>
      </c>
      <c r="AC147" s="12"/>
      <c r="AD147" s="12"/>
      <c r="AE147" s="10" t="str">
        <f aca="false">IF(B147="","",IF(AND(N(AC147)&gt;0,NOT(OR(Z147="مطابق",Z147="مطابق، دوز مازاد"))),"ریسک کسورات",IF(AND(OR(Z147="مطابق",Z147="مطابق، دوز مازاد"),N(AC147)=0,D147&lt;&gt;"آزاد",D147&lt;&gt;""),"بررسی امکان دریافت از بیمه","")))</f>
        <v/>
      </c>
      <c r="AF147" s="11"/>
    </row>
    <row r="148" customFormat="false" ht="15" hidden="false" customHeight="false" outlineLevel="0" collapsed="false">
      <c r="A148" s="10" t="str">
        <f aca="false">IF(B148="","",ROW()-2)</f>
        <v/>
      </c>
      <c r="B148" s="11"/>
      <c r="C148" s="11"/>
      <c r="D148" s="11"/>
      <c r="E148" s="11"/>
      <c r="F148" s="11"/>
      <c r="G148" s="11"/>
      <c r="H148" s="10" t="str">
        <f aca="false">IF(G148="","",IFERROR(INDEX('اندیکاسیون‌ها'!$C$3:$C$22,MATCH(G148,'اندیکاسیون‌ها'!$A$3:$A$22,0)),"کد نامعتبر"))</f>
        <v/>
      </c>
      <c r="I148" s="10" t="str">
        <f aca="false">IF(G148="","",IFERROR(INDEX('اندیکاسیون‌ها'!$B$3:$B$22,MATCH(G148,'اندیکاسیون‌ها'!$A$3:$A$22,0)),""))</f>
        <v/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0" t="str">
        <f aca="false">IF(G148="","",IFERROR(INDEX('اندیکاسیون‌ها'!$F$3:$F$22,MATCH(G148,'اندیکاسیون‌ها'!$A$3:$A$22,0)),""))</f>
        <v/>
      </c>
      <c r="V148" s="11"/>
      <c r="W148" s="12"/>
      <c r="X148" s="10" t="str">
        <f aca="false">IF(OR(B148="",IF(V148&lt;&gt;"",V148,U148)=""),"",MAX(0,N(R148)-N(T148)-IF(V148&lt;&gt;"",V148,U148)))</f>
        <v/>
      </c>
      <c r="Y148" s="10" t="str">
        <f aca="false">IF(B148="","",N(R148)-N(S148)-N(T148))</f>
        <v/>
      </c>
      <c r="Z148" s="10" t="str">
        <f aca="false">IF(B148="","",IF(OR(G148="",G148="U0"),"اندیکاسیون نامشخص",IF(I148="بدون اندیکاسیون","بدون اندیکاسیون",IF(AND(I148="خارج از جدول",P148&lt;&gt;"بله"),"خارج از جدول بدون تأیید",IF(L148&lt;&gt;"بله","معیار مستند نشده",IF(N(X148)&gt;0,"مطابق، دوز مازاد","مطابق"))))))</f>
        <v/>
      </c>
      <c r="AA148" s="13" t="str">
        <f aca="false">IF(B148="","",IFERROR(COUNTIF(J148:Q148,"بله")/(COUNTIF(J148:Q148,"بله")+COUNTIF(J148:Q148,"خیر")),""))</f>
        <v/>
      </c>
      <c r="AB148" s="14" t="str">
        <f aca="false">IF(B148="","",IF(Z148="مطابق",0,IF(Z148="مطابق، دوز مازاد",N(X148)*N(W148),(N(R148)-N(T148))*N(W148))))</f>
        <v/>
      </c>
      <c r="AC148" s="12"/>
      <c r="AD148" s="12"/>
      <c r="AE148" s="10" t="str">
        <f aca="false">IF(B148="","",IF(AND(N(AC148)&gt;0,NOT(OR(Z148="مطابق",Z148="مطابق، دوز مازاد"))),"ریسک کسورات",IF(AND(OR(Z148="مطابق",Z148="مطابق، دوز مازاد"),N(AC148)=0,D148&lt;&gt;"آزاد",D148&lt;&gt;""),"بررسی امکان دریافت از بیمه","")))</f>
        <v/>
      </c>
      <c r="AF148" s="11"/>
    </row>
    <row r="149" customFormat="false" ht="15" hidden="false" customHeight="false" outlineLevel="0" collapsed="false">
      <c r="A149" s="10" t="str">
        <f aca="false">IF(B149="","",ROW()-2)</f>
        <v/>
      </c>
      <c r="B149" s="11"/>
      <c r="C149" s="11"/>
      <c r="D149" s="11"/>
      <c r="E149" s="11"/>
      <c r="F149" s="11"/>
      <c r="G149" s="11"/>
      <c r="H149" s="10" t="str">
        <f aca="false">IF(G149="","",IFERROR(INDEX('اندیکاسیون‌ها'!$C$3:$C$22,MATCH(G149,'اندیکاسیون‌ها'!$A$3:$A$22,0)),"کد نامعتبر"))</f>
        <v/>
      </c>
      <c r="I149" s="10" t="str">
        <f aca="false">IF(G149="","",IFERROR(INDEX('اندیکاسیون‌ها'!$B$3:$B$22,MATCH(G149,'اندیکاسیون‌ها'!$A$3:$A$22,0)),""))</f>
        <v/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0" t="str">
        <f aca="false">IF(G149="","",IFERROR(INDEX('اندیکاسیون‌ها'!$F$3:$F$22,MATCH(G149,'اندیکاسیون‌ها'!$A$3:$A$22,0)),""))</f>
        <v/>
      </c>
      <c r="V149" s="11"/>
      <c r="W149" s="12"/>
      <c r="X149" s="10" t="str">
        <f aca="false">IF(OR(B149="",IF(V149&lt;&gt;"",V149,U149)=""),"",MAX(0,N(R149)-N(T149)-IF(V149&lt;&gt;"",V149,U149)))</f>
        <v/>
      </c>
      <c r="Y149" s="10" t="str">
        <f aca="false">IF(B149="","",N(R149)-N(S149)-N(T149))</f>
        <v/>
      </c>
      <c r="Z149" s="10" t="str">
        <f aca="false">IF(B149="","",IF(OR(G149="",G149="U0"),"اندیکاسیون نامشخص",IF(I149="بدون اندیکاسیون","بدون اندیکاسیون",IF(AND(I149="خارج از جدول",P149&lt;&gt;"بله"),"خارج از جدول بدون تأیید",IF(L149&lt;&gt;"بله","معیار مستند نشده",IF(N(X149)&gt;0,"مطابق، دوز مازاد","مطابق"))))))</f>
        <v/>
      </c>
      <c r="AA149" s="13" t="str">
        <f aca="false">IF(B149="","",IFERROR(COUNTIF(J149:Q149,"بله")/(COUNTIF(J149:Q149,"بله")+COUNTIF(J149:Q149,"خیر")),""))</f>
        <v/>
      </c>
      <c r="AB149" s="14" t="str">
        <f aca="false">IF(B149="","",IF(Z149="مطابق",0,IF(Z149="مطابق، دوز مازاد",N(X149)*N(W149),(N(R149)-N(T149))*N(W149))))</f>
        <v/>
      </c>
      <c r="AC149" s="12"/>
      <c r="AD149" s="12"/>
      <c r="AE149" s="10" t="str">
        <f aca="false">IF(B149="","",IF(AND(N(AC149)&gt;0,NOT(OR(Z149="مطابق",Z149="مطابق، دوز مازاد"))),"ریسک کسورات",IF(AND(OR(Z149="مطابق",Z149="مطابق، دوز مازاد"),N(AC149)=0,D149&lt;&gt;"آزاد",D149&lt;&gt;""),"بررسی امکان دریافت از بیمه","")))</f>
        <v/>
      </c>
      <c r="AF149" s="11"/>
    </row>
    <row r="150" customFormat="false" ht="15" hidden="false" customHeight="false" outlineLevel="0" collapsed="false">
      <c r="A150" s="10" t="str">
        <f aca="false">IF(B150="","",ROW()-2)</f>
        <v/>
      </c>
      <c r="B150" s="11"/>
      <c r="C150" s="11"/>
      <c r="D150" s="11"/>
      <c r="E150" s="11"/>
      <c r="F150" s="11"/>
      <c r="G150" s="11"/>
      <c r="H150" s="10" t="str">
        <f aca="false">IF(G150="","",IFERROR(INDEX('اندیکاسیون‌ها'!$C$3:$C$22,MATCH(G150,'اندیکاسیون‌ها'!$A$3:$A$22,0)),"کد نامعتبر"))</f>
        <v/>
      </c>
      <c r="I150" s="10" t="str">
        <f aca="false">IF(G150="","",IFERROR(INDEX('اندیکاسیون‌ها'!$B$3:$B$22,MATCH(G150,'اندیکاسیون‌ها'!$A$3:$A$22,0)),""))</f>
        <v/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 t="str">
        <f aca="false">IF(G150="","",IFERROR(INDEX('اندیکاسیون‌ها'!$F$3:$F$22,MATCH(G150,'اندیکاسیون‌ها'!$A$3:$A$22,0)),""))</f>
        <v/>
      </c>
      <c r="V150" s="11"/>
      <c r="W150" s="12"/>
      <c r="X150" s="10" t="str">
        <f aca="false">IF(OR(B150="",IF(V150&lt;&gt;"",V150,U150)=""),"",MAX(0,N(R150)-N(T150)-IF(V150&lt;&gt;"",V150,U150)))</f>
        <v/>
      </c>
      <c r="Y150" s="10" t="str">
        <f aca="false">IF(B150="","",N(R150)-N(S150)-N(T150))</f>
        <v/>
      </c>
      <c r="Z150" s="10" t="str">
        <f aca="false">IF(B150="","",IF(OR(G150="",G150="U0"),"اندیکاسیون نامشخص",IF(I150="بدون اندیکاسیون","بدون اندیکاسیون",IF(AND(I150="خارج از جدول",P150&lt;&gt;"بله"),"خارج از جدول بدون تأیید",IF(L150&lt;&gt;"بله","معیار مستند نشده",IF(N(X150)&gt;0,"مطابق، دوز مازاد","مطابق"))))))</f>
        <v/>
      </c>
      <c r="AA150" s="13" t="str">
        <f aca="false">IF(B150="","",IFERROR(COUNTIF(J150:Q150,"بله")/(COUNTIF(J150:Q150,"بله")+COUNTIF(J150:Q150,"خیر")),""))</f>
        <v/>
      </c>
      <c r="AB150" s="14" t="str">
        <f aca="false">IF(B150="","",IF(Z150="مطابق",0,IF(Z150="مطابق، دوز مازاد",N(X150)*N(W150),(N(R150)-N(T150))*N(W150))))</f>
        <v/>
      </c>
      <c r="AC150" s="12"/>
      <c r="AD150" s="12"/>
      <c r="AE150" s="10" t="str">
        <f aca="false">IF(B150="","",IF(AND(N(AC150)&gt;0,NOT(OR(Z150="مطابق",Z150="مطابق، دوز مازاد"))),"ریسک کسورات",IF(AND(OR(Z150="مطابق",Z150="مطابق، دوز مازاد"),N(AC150)=0,D150&lt;&gt;"آزاد",D150&lt;&gt;""),"بررسی امکان دریافت از بیمه","")))</f>
        <v/>
      </c>
      <c r="AF150" s="11"/>
    </row>
    <row r="151" customFormat="false" ht="15" hidden="false" customHeight="false" outlineLevel="0" collapsed="false">
      <c r="A151" s="10" t="str">
        <f aca="false">IF(B151="","",ROW()-2)</f>
        <v/>
      </c>
      <c r="B151" s="11"/>
      <c r="C151" s="11"/>
      <c r="D151" s="11"/>
      <c r="E151" s="11"/>
      <c r="F151" s="11"/>
      <c r="G151" s="11"/>
      <c r="H151" s="10" t="str">
        <f aca="false">IF(G151="","",IFERROR(INDEX('اندیکاسیون‌ها'!$C$3:$C$22,MATCH(G151,'اندیکاسیون‌ها'!$A$3:$A$22,0)),"کد نامعتبر"))</f>
        <v/>
      </c>
      <c r="I151" s="10" t="str">
        <f aca="false">IF(G151="","",IFERROR(INDEX('اندیکاسیون‌ها'!$B$3:$B$22,MATCH(G151,'اندیکاسیون‌ها'!$A$3:$A$22,0)),""))</f>
        <v/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 t="str">
        <f aca="false">IF(G151="","",IFERROR(INDEX('اندیکاسیون‌ها'!$F$3:$F$22,MATCH(G151,'اندیکاسیون‌ها'!$A$3:$A$22,0)),""))</f>
        <v/>
      </c>
      <c r="V151" s="11"/>
      <c r="W151" s="12"/>
      <c r="X151" s="10" t="str">
        <f aca="false">IF(OR(B151="",IF(V151&lt;&gt;"",V151,U151)=""),"",MAX(0,N(R151)-N(T151)-IF(V151&lt;&gt;"",V151,U151)))</f>
        <v/>
      </c>
      <c r="Y151" s="10" t="str">
        <f aca="false">IF(B151="","",N(R151)-N(S151)-N(T151))</f>
        <v/>
      </c>
      <c r="Z151" s="10" t="str">
        <f aca="false">IF(B151="","",IF(OR(G151="",G151="U0"),"اندیکاسیون نامشخص",IF(I151="بدون اندیکاسیون","بدون اندیکاسیون",IF(AND(I151="خارج از جدول",P151&lt;&gt;"بله"),"خارج از جدول بدون تأیید",IF(L151&lt;&gt;"بله","معیار مستند نشده",IF(N(X151)&gt;0,"مطابق، دوز مازاد","مطابق"))))))</f>
        <v/>
      </c>
      <c r="AA151" s="13" t="str">
        <f aca="false">IF(B151="","",IFERROR(COUNTIF(J151:Q151,"بله")/(COUNTIF(J151:Q151,"بله")+COUNTIF(J151:Q151,"خیر")),""))</f>
        <v/>
      </c>
      <c r="AB151" s="14" t="str">
        <f aca="false">IF(B151="","",IF(Z151="مطابق",0,IF(Z151="مطابق، دوز مازاد",N(X151)*N(W151),(N(R151)-N(T151))*N(W151))))</f>
        <v/>
      </c>
      <c r="AC151" s="12"/>
      <c r="AD151" s="12"/>
      <c r="AE151" s="10" t="str">
        <f aca="false">IF(B151="","",IF(AND(N(AC151)&gt;0,NOT(OR(Z151="مطابق",Z151="مطابق، دوز مازاد"))),"ریسک کسورات",IF(AND(OR(Z151="مطابق",Z151="مطابق، دوز مازاد"),N(AC151)=0,D151&lt;&gt;"آزاد",D151&lt;&gt;""),"بررسی امکان دریافت از بیمه","")))</f>
        <v/>
      </c>
      <c r="AF151" s="11"/>
    </row>
    <row r="152" customFormat="false" ht="15" hidden="false" customHeight="false" outlineLevel="0" collapsed="false">
      <c r="A152" s="10" t="str">
        <f aca="false">IF(B152="","",ROW()-2)</f>
        <v/>
      </c>
      <c r="B152" s="11"/>
      <c r="C152" s="11"/>
      <c r="D152" s="11"/>
      <c r="E152" s="11"/>
      <c r="F152" s="11"/>
      <c r="G152" s="11"/>
      <c r="H152" s="10" t="str">
        <f aca="false">IF(G152="","",IFERROR(INDEX('اندیکاسیون‌ها'!$C$3:$C$22,MATCH(G152,'اندیکاسیون‌ها'!$A$3:$A$22,0)),"کد نامعتبر"))</f>
        <v/>
      </c>
      <c r="I152" s="10" t="str">
        <f aca="false">IF(G152="","",IFERROR(INDEX('اندیکاسیون‌ها'!$B$3:$B$22,MATCH(G152,'اندیکاسیون‌ها'!$A$3:$A$22,0)),""))</f>
        <v/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 t="str">
        <f aca="false">IF(G152="","",IFERROR(INDEX('اندیکاسیون‌ها'!$F$3:$F$22,MATCH(G152,'اندیکاسیون‌ها'!$A$3:$A$22,0)),""))</f>
        <v/>
      </c>
      <c r="V152" s="11"/>
      <c r="W152" s="12"/>
      <c r="X152" s="10" t="str">
        <f aca="false">IF(OR(B152="",IF(V152&lt;&gt;"",V152,U152)=""),"",MAX(0,N(R152)-N(T152)-IF(V152&lt;&gt;"",V152,U152)))</f>
        <v/>
      </c>
      <c r="Y152" s="10" t="str">
        <f aca="false">IF(B152="","",N(R152)-N(S152)-N(T152))</f>
        <v/>
      </c>
      <c r="Z152" s="10" t="str">
        <f aca="false">IF(B152="","",IF(OR(G152="",G152="U0"),"اندیکاسیون نامشخص",IF(I152="بدون اندیکاسیون","بدون اندیکاسیون",IF(AND(I152="خارج از جدول",P152&lt;&gt;"بله"),"خارج از جدول بدون تأیید",IF(L152&lt;&gt;"بله","معیار مستند نشده",IF(N(X152)&gt;0,"مطابق، دوز مازاد","مطابق"))))))</f>
        <v/>
      </c>
      <c r="AA152" s="13" t="str">
        <f aca="false">IF(B152="","",IFERROR(COUNTIF(J152:Q152,"بله")/(COUNTIF(J152:Q152,"بله")+COUNTIF(J152:Q152,"خیر")),""))</f>
        <v/>
      </c>
      <c r="AB152" s="14" t="str">
        <f aca="false">IF(B152="","",IF(Z152="مطابق",0,IF(Z152="مطابق، دوز مازاد",N(X152)*N(W152),(N(R152)-N(T152))*N(W152))))</f>
        <v/>
      </c>
      <c r="AC152" s="12"/>
      <c r="AD152" s="12"/>
      <c r="AE152" s="10" t="str">
        <f aca="false">IF(B152="","",IF(AND(N(AC152)&gt;0,NOT(OR(Z152="مطابق",Z152="مطابق، دوز مازاد"))),"ریسک کسورات",IF(AND(OR(Z152="مطابق",Z152="مطابق، دوز مازاد"),N(AC152)=0,D152&lt;&gt;"آزاد",D152&lt;&gt;""),"بررسی امکان دریافت از بیمه","")))</f>
        <v/>
      </c>
      <c r="AF152" s="11"/>
    </row>
    <row r="153" customFormat="false" ht="15" hidden="false" customHeight="false" outlineLevel="0" collapsed="false">
      <c r="A153" s="10" t="str">
        <f aca="false">IF(B153="","",ROW()-2)</f>
        <v/>
      </c>
      <c r="B153" s="11"/>
      <c r="C153" s="11"/>
      <c r="D153" s="11"/>
      <c r="E153" s="11"/>
      <c r="F153" s="11"/>
      <c r="G153" s="11"/>
      <c r="H153" s="10" t="str">
        <f aca="false">IF(G153="","",IFERROR(INDEX('اندیکاسیون‌ها'!$C$3:$C$22,MATCH(G153,'اندیکاسیون‌ها'!$A$3:$A$22,0)),"کد نامعتبر"))</f>
        <v/>
      </c>
      <c r="I153" s="10" t="str">
        <f aca="false">IF(G153="","",IFERROR(INDEX('اندیکاسیون‌ها'!$B$3:$B$22,MATCH(G153,'اندیکاسیون‌ها'!$A$3:$A$22,0)),""))</f>
        <v/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 t="str">
        <f aca="false">IF(G153="","",IFERROR(INDEX('اندیکاسیون‌ها'!$F$3:$F$22,MATCH(G153,'اندیکاسیون‌ها'!$A$3:$A$22,0)),""))</f>
        <v/>
      </c>
      <c r="V153" s="11"/>
      <c r="W153" s="12"/>
      <c r="X153" s="10" t="str">
        <f aca="false">IF(OR(B153="",IF(V153&lt;&gt;"",V153,U153)=""),"",MAX(0,N(R153)-N(T153)-IF(V153&lt;&gt;"",V153,U153)))</f>
        <v/>
      </c>
      <c r="Y153" s="10" t="str">
        <f aca="false">IF(B153="","",N(R153)-N(S153)-N(T153))</f>
        <v/>
      </c>
      <c r="Z153" s="10" t="str">
        <f aca="false">IF(B153="","",IF(OR(G153="",G153="U0"),"اندیکاسیون نامشخص",IF(I153="بدون اندیکاسیون","بدون اندیکاسیون",IF(AND(I153="خارج از جدول",P153&lt;&gt;"بله"),"خارج از جدول بدون تأیید",IF(L153&lt;&gt;"بله","معیار مستند نشده",IF(N(X153)&gt;0,"مطابق، دوز مازاد","مطابق"))))))</f>
        <v/>
      </c>
      <c r="AA153" s="13" t="str">
        <f aca="false">IF(B153="","",IFERROR(COUNTIF(J153:Q153,"بله")/(COUNTIF(J153:Q153,"بله")+COUNTIF(J153:Q153,"خیر")),""))</f>
        <v/>
      </c>
      <c r="AB153" s="14" t="str">
        <f aca="false">IF(B153="","",IF(Z153="مطابق",0,IF(Z153="مطابق، دوز مازاد",N(X153)*N(W153),(N(R153)-N(T153))*N(W153))))</f>
        <v/>
      </c>
      <c r="AC153" s="12"/>
      <c r="AD153" s="12"/>
      <c r="AE153" s="10" t="str">
        <f aca="false">IF(B153="","",IF(AND(N(AC153)&gt;0,NOT(OR(Z153="مطابق",Z153="مطابق، دوز مازاد"))),"ریسک کسورات",IF(AND(OR(Z153="مطابق",Z153="مطابق، دوز مازاد"),N(AC153)=0,D153&lt;&gt;"آزاد",D153&lt;&gt;""),"بررسی امکان دریافت از بیمه","")))</f>
        <v/>
      </c>
      <c r="AF153" s="11"/>
    </row>
    <row r="154" customFormat="false" ht="15" hidden="false" customHeight="false" outlineLevel="0" collapsed="false">
      <c r="A154" s="10" t="str">
        <f aca="false">IF(B154="","",ROW()-2)</f>
        <v/>
      </c>
      <c r="B154" s="11"/>
      <c r="C154" s="11"/>
      <c r="D154" s="11"/>
      <c r="E154" s="11"/>
      <c r="F154" s="11"/>
      <c r="G154" s="11"/>
      <c r="H154" s="10" t="str">
        <f aca="false">IF(G154="","",IFERROR(INDEX('اندیکاسیون‌ها'!$C$3:$C$22,MATCH(G154,'اندیکاسیون‌ها'!$A$3:$A$22,0)),"کد نامعتبر"))</f>
        <v/>
      </c>
      <c r="I154" s="10" t="str">
        <f aca="false">IF(G154="","",IFERROR(INDEX('اندیکاسیون‌ها'!$B$3:$B$22,MATCH(G154,'اندیکاسیون‌ها'!$A$3:$A$22,0)),""))</f>
        <v/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0" t="str">
        <f aca="false">IF(G154="","",IFERROR(INDEX('اندیکاسیون‌ها'!$F$3:$F$22,MATCH(G154,'اندیکاسیون‌ها'!$A$3:$A$22,0)),""))</f>
        <v/>
      </c>
      <c r="V154" s="11"/>
      <c r="W154" s="12"/>
      <c r="X154" s="10" t="str">
        <f aca="false">IF(OR(B154="",IF(V154&lt;&gt;"",V154,U154)=""),"",MAX(0,N(R154)-N(T154)-IF(V154&lt;&gt;"",V154,U154)))</f>
        <v/>
      </c>
      <c r="Y154" s="10" t="str">
        <f aca="false">IF(B154="","",N(R154)-N(S154)-N(T154))</f>
        <v/>
      </c>
      <c r="Z154" s="10" t="str">
        <f aca="false">IF(B154="","",IF(OR(G154="",G154="U0"),"اندیکاسیون نامشخص",IF(I154="بدون اندیکاسیون","بدون اندیکاسیون",IF(AND(I154="خارج از جدول",P154&lt;&gt;"بله"),"خارج از جدول بدون تأیید",IF(L154&lt;&gt;"بله","معیار مستند نشده",IF(N(X154)&gt;0,"مطابق، دوز مازاد","مطابق"))))))</f>
        <v/>
      </c>
      <c r="AA154" s="13" t="str">
        <f aca="false">IF(B154="","",IFERROR(COUNTIF(J154:Q154,"بله")/(COUNTIF(J154:Q154,"بله")+COUNTIF(J154:Q154,"خیر")),""))</f>
        <v/>
      </c>
      <c r="AB154" s="14" t="str">
        <f aca="false">IF(B154="","",IF(Z154="مطابق",0,IF(Z154="مطابق، دوز مازاد",N(X154)*N(W154),(N(R154)-N(T154))*N(W154))))</f>
        <v/>
      </c>
      <c r="AC154" s="12"/>
      <c r="AD154" s="12"/>
      <c r="AE154" s="10" t="str">
        <f aca="false">IF(B154="","",IF(AND(N(AC154)&gt;0,NOT(OR(Z154="مطابق",Z154="مطابق، دوز مازاد"))),"ریسک کسورات",IF(AND(OR(Z154="مطابق",Z154="مطابق، دوز مازاد"),N(AC154)=0,D154&lt;&gt;"آزاد",D154&lt;&gt;""),"بررسی امکان دریافت از بیمه","")))</f>
        <v/>
      </c>
      <c r="AF154" s="11"/>
    </row>
    <row r="155" customFormat="false" ht="15" hidden="false" customHeight="false" outlineLevel="0" collapsed="false">
      <c r="A155" s="10" t="str">
        <f aca="false">IF(B155="","",ROW()-2)</f>
        <v/>
      </c>
      <c r="B155" s="11"/>
      <c r="C155" s="11"/>
      <c r="D155" s="11"/>
      <c r="E155" s="11"/>
      <c r="F155" s="11"/>
      <c r="G155" s="11"/>
      <c r="H155" s="10" t="str">
        <f aca="false">IF(G155="","",IFERROR(INDEX('اندیکاسیون‌ها'!$C$3:$C$22,MATCH(G155,'اندیکاسیون‌ها'!$A$3:$A$22,0)),"کد نامعتبر"))</f>
        <v/>
      </c>
      <c r="I155" s="10" t="str">
        <f aca="false">IF(G155="","",IFERROR(INDEX('اندیکاسیون‌ها'!$B$3:$B$22,MATCH(G155,'اندیکاسیون‌ها'!$A$3:$A$22,0)),""))</f>
        <v/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 t="str">
        <f aca="false">IF(G155="","",IFERROR(INDEX('اندیکاسیون‌ها'!$F$3:$F$22,MATCH(G155,'اندیکاسیون‌ها'!$A$3:$A$22,0)),""))</f>
        <v/>
      </c>
      <c r="V155" s="11"/>
      <c r="W155" s="12"/>
      <c r="X155" s="10" t="str">
        <f aca="false">IF(OR(B155="",IF(V155&lt;&gt;"",V155,U155)=""),"",MAX(0,N(R155)-N(T155)-IF(V155&lt;&gt;"",V155,U155)))</f>
        <v/>
      </c>
      <c r="Y155" s="10" t="str">
        <f aca="false">IF(B155="","",N(R155)-N(S155)-N(T155))</f>
        <v/>
      </c>
      <c r="Z155" s="10" t="str">
        <f aca="false">IF(B155="","",IF(OR(G155="",G155="U0"),"اندیکاسیون نامشخص",IF(I155="بدون اندیکاسیون","بدون اندیکاسیون",IF(AND(I155="خارج از جدول",P155&lt;&gt;"بله"),"خارج از جدول بدون تأیید",IF(L155&lt;&gt;"بله","معیار مستند نشده",IF(N(X155)&gt;0,"مطابق، دوز مازاد","مطابق"))))))</f>
        <v/>
      </c>
      <c r="AA155" s="13" t="str">
        <f aca="false">IF(B155="","",IFERROR(COUNTIF(J155:Q155,"بله")/(COUNTIF(J155:Q155,"بله")+COUNTIF(J155:Q155,"خیر")),""))</f>
        <v/>
      </c>
      <c r="AB155" s="14" t="str">
        <f aca="false">IF(B155="","",IF(Z155="مطابق",0,IF(Z155="مطابق، دوز مازاد",N(X155)*N(W155),(N(R155)-N(T155))*N(W155))))</f>
        <v/>
      </c>
      <c r="AC155" s="12"/>
      <c r="AD155" s="12"/>
      <c r="AE155" s="10" t="str">
        <f aca="false">IF(B155="","",IF(AND(N(AC155)&gt;0,NOT(OR(Z155="مطابق",Z155="مطابق، دوز مازاد"))),"ریسک کسورات",IF(AND(OR(Z155="مطابق",Z155="مطابق، دوز مازاد"),N(AC155)=0,D155&lt;&gt;"آزاد",D155&lt;&gt;""),"بررسی امکان دریافت از بیمه","")))</f>
        <v/>
      </c>
      <c r="AF155" s="11"/>
    </row>
    <row r="156" customFormat="false" ht="15" hidden="false" customHeight="false" outlineLevel="0" collapsed="false">
      <c r="A156" s="10" t="str">
        <f aca="false">IF(B156="","",ROW()-2)</f>
        <v/>
      </c>
      <c r="B156" s="11"/>
      <c r="C156" s="11"/>
      <c r="D156" s="11"/>
      <c r="E156" s="11"/>
      <c r="F156" s="11"/>
      <c r="G156" s="11"/>
      <c r="H156" s="10" t="str">
        <f aca="false">IF(G156="","",IFERROR(INDEX('اندیکاسیون‌ها'!$C$3:$C$22,MATCH(G156,'اندیکاسیون‌ها'!$A$3:$A$22,0)),"کد نامعتبر"))</f>
        <v/>
      </c>
      <c r="I156" s="10" t="str">
        <f aca="false">IF(G156="","",IFERROR(INDEX('اندیکاسیون‌ها'!$B$3:$B$22,MATCH(G156,'اندیکاسیون‌ها'!$A$3:$A$22,0)),""))</f>
        <v/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 t="str">
        <f aca="false">IF(G156="","",IFERROR(INDEX('اندیکاسیون‌ها'!$F$3:$F$22,MATCH(G156,'اندیکاسیون‌ها'!$A$3:$A$22,0)),""))</f>
        <v/>
      </c>
      <c r="V156" s="11"/>
      <c r="W156" s="12"/>
      <c r="X156" s="10" t="str">
        <f aca="false">IF(OR(B156="",IF(V156&lt;&gt;"",V156,U156)=""),"",MAX(0,N(R156)-N(T156)-IF(V156&lt;&gt;"",V156,U156)))</f>
        <v/>
      </c>
      <c r="Y156" s="10" t="str">
        <f aca="false">IF(B156="","",N(R156)-N(S156)-N(T156))</f>
        <v/>
      </c>
      <c r="Z156" s="10" t="str">
        <f aca="false">IF(B156="","",IF(OR(G156="",G156="U0"),"اندیکاسیون نامشخص",IF(I156="بدون اندیکاسیون","بدون اندیکاسیون",IF(AND(I156="خارج از جدول",P156&lt;&gt;"بله"),"خارج از جدول بدون تأیید",IF(L156&lt;&gt;"بله","معیار مستند نشده",IF(N(X156)&gt;0,"مطابق، دوز مازاد","مطابق"))))))</f>
        <v/>
      </c>
      <c r="AA156" s="13" t="str">
        <f aca="false">IF(B156="","",IFERROR(COUNTIF(J156:Q156,"بله")/(COUNTIF(J156:Q156,"بله")+COUNTIF(J156:Q156,"خیر")),""))</f>
        <v/>
      </c>
      <c r="AB156" s="14" t="str">
        <f aca="false">IF(B156="","",IF(Z156="مطابق",0,IF(Z156="مطابق، دوز مازاد",N(X156)*N(W156),(N(R156)-N(T156))*N(W156))))</f>
        <v/>
      </c>
      <c r="AC156" s="12"/>
      <c r="AD156" s="12"/>
      <c r="AE156" s="10" t="str">
        <f aca="false">IF(B156="","",IF(AND(N(AC156)&gt;0,NOT(OR(Z156="مطابق",Z156="مطابق، دوز مازاد"))),"ریسک کسورات",IF(AND(OR(Z156="مطابق",Z156="مطابق، دوز مازاد"),N(AC156)=0,D156&lt;&gt;"آزاد",D156&lt;&gt;""),"بررسی امکان دریافت از بیمه","")))</f>
        <v/>
      </c>
      <c r="AF156" s="11"/>
    </row>
    <row r="157" customFormat="false" ht="15" hidden="false" customHeight="false" outlineLevel="0" collapsed="false">
      <c r="A157" s="10" t="str">
        <f aca="false">IF(B157="","",ROW()-2)</f>
        <v/>
      </c>
      <c r="B157" s="11"/>
      <c r="C157" s="11"/>
      <c r="D157" s="11"/>
      <c r="E157" s="11"/>
      <c r="F157" s="11"/>
      <c r="G157" s="11"/>
      <c r="H157" s="10" t="str">
        <f aca="false">IF(G157="","",IFERROR(INDEX('اندیکاسیون‌ها'!$C$3:$C$22,MATCH(G157,'اندیکاسیون‌ها'!$A$3:$A$22,0)),"کد نامعتبر"))</f>
        <v/>
      </c>
      <c r="I157" s="10" t="str">
        <f aca="false">IF(G157="","",IFERROR(INDEX('اندیکاسیون‌ها'!$B$3:$B$22,MATCH(G157,'اندیکاسیون‌ها'!$A$3:$A$22,0)),""))</f>
        <v/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 t="str">
        <f aca="false">IF(G157="","",IFERROR(INDEX('اندیکاسیون‌ها'!$F$3:$F$22,MATCH(G157,'اندیکاسیون‌ها'!$A$3:$A$22,0)),""))</f>
        <v/>
      </c>
      <c r="V157" s="11"/>
      <c r="W157" s="12"/>
      <c r="X157" s="10" t="str">
        <f aca="false">IF(OR(B157="",IF(V157&lt;&gt;"",V157,U157)=""),"",MAX(0,N(R157)-N(T157)-IF(V157&lt;&gt;"",V157,U157)))</f>
        <v/>
      </c>
      <c r="Y157" s="10" t="str">
        <f aca="false">IF(B157="","",N(R157)-N(S157)-N(T157))</f>
        <v/>
      </c>
      <c r="Z157" s="10" t="str">
        <f aca="false">IF(B157="","",IF(OR(G157="",G157="U0"),"اندیکاسیون نامشخص",IF(I157="بدون اندیکاسیون","بدون اندیکاسیون",IF(AND(I157="خارج از جدول",P157&lt;&gt;"بله"),"خارج از جدول بدون تأیید",IF(L157&lt;&gt;"بله","معیار مستند نشده",IF(N(X157)&gt;0,"مطابق، دوز مازاد","مطابق"))))))</f>
        <v/>
      </c>
      <c r="AA157" s="13" t="str">
        <f aca="false">IF(B157="","",IFERROR(COUNTIF(J157:Q157,"بله")/(COUNTIF(J157:Q157,"بله")+COUNTIF(J157:Q157,"خیر")),""))</f>
        <v/>
      </c>
      <c r="AB157" s="14" t="str">
        <f aca="false">IF(B157="","",IF(Z157="مطابق",0,IF(Z157="مطابق، دوز مازاد",N(X157)*N(W157),(N(R157)-N(T157))*N(W157))))</f>
        <v/>
      </c>
      <c r="AC157" s="12"/>
      <c r="AD157" s="12"/>
      <c r="AE157" s="10" t="str">
        <f aca="false">IF(B157="","",IF(AND(N(AC157)&gt;0,NOT(OR(Z157="مطابق",Z157="مطابق، دوز مازاد"))),"ریسک کسورات",IF(AND(OR(Z157="مطابق",Z157="مطابق، دوز مازاد"),N(AC157)=0,D157&lt;&gt;"آزاد",D157&lt;&gt;""),"بررسی امکان دریافت از بیمه","")))</f>
        <v/>
      </c>
      <c r="AF157" s="11"/>
    </row>
    <row r="158" customFormat="false" ht="15" hidden="false" customHeight="false" outlineLevel="0" collapsed="false">
      <c r="A158" s="10" t="str">
        <f aca="false">IF(B158="","",ROW()-2)</f>
        <v/>
      </c>
      <c r="B158" s="11"/>
      <c r="C158" s="11"/>
      <c r="D158" s="11"/>
      <c r="E158" s="11"/>
      <c r="F158" s="11"/>
      <c r="G158" s="11"/>
      <c r="H158" s="10" t="str">
        <f aca="false">IF(G158="","",IFERROR(INDEX('اندیکاسیون‌ها'!$C$3:$C$22,MATCH(G158,'اندیکاسیون‌ها'!$A$3:$A$22,0)),"کد نامعتبر"))</f>
        <v/>
      </c>
      <c r="I158" s="10" t="str">
        <f aca="false">IF(G158="","",IFERROR(INDEX('اندیکاسیون‌ها'!$B$3:$B$22,MATCH(G158,'اندیکاسیون‌ها'!$A$3:$A$22,0)),""))</f>
        <v/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 t="str">
        <f aca="false">IF(G158="","",IFERROR(INDEX('اندیکاسیون‌ها'!$F$3:$F$22,MATCH(G158,'اندیکاسیون‌ها'!$A$3:$A$22,0)),""))</f>
        <v/>
      </c>
      <c r="V158" s="11"/>
      <c r="W158" s="12"/>
      <c r="X158" s="10" t="str">
        <f aca="false">IF(OR(B158="",IF(V158&lt;&gt;"",V158,U158)=""),"",MAX(0,N(R158)-N(T158)-IF(V158&lt;&gt;"",V158,U158)))</f>
        <v/>
      </c>
      <c r="Y158" s="10" t="str">
        <f aca="false">IF(B158="","",N(R158)-N(S158)-N(T158))</f>
        <v/>
      </c>
      <c r="Z158" s="10" t="str">
        <f aca="false">IF(B158="","",IF(OR(G158="",G158="U0"),"اندیکاسیون نامشخص",IF(I158="بدون اندیکاسیون","بدون اندیکاسیون",IF(AND(I158="خارج از جدول",P158&lt;&gt;"بله"),"خارج از جدول بدون تأیید",IF(L158&lt;&gt;"بله","معیار مستند نشده",IF(N(X158)&gt;0,"مطابق، دوز مازاد","مطابق"))))))</f>
        <v/>
      </c>
      <c r="AA158" s="13" t="str">
        <f aca="false">IF(B158="","",IFERROR(COUNTIF(J158:Q158,"بله")/(COUNTIF(J158:Q158,"بله")+COUNTIF(J158:Q158,"خیر")),""))</f>
        <v/>
      </c>
      <c r="AB158" s="14" t="str">
        <f aca="false">IF(B158="","",IF(Z158="مطابق",0,IF(Z158="مطابق، دوز مازاد",N(X158)*N(W158),(N(R158)-N(T158))*N(W158))))</f>
        <v/>
      </c>
      <c r="AC158" s="12"/>
      <c r="AD158" s="12"/>
      <c r="AE158" s="10" t="str">
        <f aca="false">IF(B158="","",IF(AND(N(AC158)&gt;0,NOT(OR(Z158="مطابق",Z158="مطابق، دوز مازاد"))),"ریسک کسورات",IF(AND(OR(Z158="مطابق",Z158="مطابق، دوز مازاد"),N(AC158)=0,D158&lt;&gt;"آزاد",D158&lt;&gt;""),"بررسی امکان دریافت از بیمه","")))</f>
        <v/>
      </c>
      <c r="AF158" s="11"/>
    </row>
    <row r="159" customFormat="false" ht="15" hidden="false" customHeight="false" outlineLevel="0" collapsed="false">
      <c r="A159" s="10" t="str">
        <f aca="false">IF(B159="","",ROW()-2)</f>
        <v/>
      </c>
      <c r="B159" s="11"/>
      <c r="C159" s="11"/>
      <c r="D159" s="11"/>
      <c r="E159" s="11"/>
      <c r="F159" s="11"/>
      <c r="G159" s="11"/>
      <c r="H159" s="10" t="str">
        <f aca="false">IF(G159="","",IFERROR(INDEX('اندیکاسیون‌ها'!$C$3:$C$22,MATCH(G159,'اندیکاسیون‌ها'!$A$3:$A$22,0)),"کد نامعتبر"))</f>
        <v/>
      </c>
      <c r="I159" s="10" t="str">
        <f aca="false">IF(G159="","",IFERROR(INDEX('اندیکاسیون‌ها'!$B$3:$B$22,MATCH(G159,'اندیکاسیون‌ها'!$A$3:$A$22,0)),""))</f>
        <v/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 t="str">
        <f aca="false">IF(G159="","",IFERROR(INDEX('اندیکاسیون‌ها'!$F$3:$F$22,MATCH(G159,'اندیکاسیون‌ها'!$A$3:$A$22,0)),""))</f>
        <v/>
      </c>
      <c r="V159" s="11"/>
      <c r="W159" s="12"/>
      <c r="X159" s="10" t="str">
        <f aca="false">IF(OR(B159="",IF(V159&lt;&gt;"",V159,U159)=""),"",MAX(0,N(R159)-N(T159)-IF(V159&lt;&gt;"",V159,U159)))</f>
        <v/>
      </c>
      <c r="Y159" s="10" t="str">
        <f aca="false">IF(B159="","",N(R159)-N(S159)-N(T159))</f>
        <v/>
      </c>
      <c r="Z159" s="10" t="str">
        <f aca="false">IF(B159="","",IF(OR(G159="",G159="U0"),"اندیکاسیون نامشخص",IF(I159="بدون اندیکاسیون","بدون اندیکاسیون",IF(AND(I159="خارج از جدول",P159&lt;&gt;"بله"),"خارج از جدول بدون تأیید",IF(L159&lt;&gt;"بله","معیار مستند نشده",IF(N(X159)&gt;0,"مطابق، دوز مازاد","مطابق"))))))</f>
        <v/>
      </c>
      <c r="AA159" s="13" t="str">
        <f aca="false">IF(B159="","",IFERROR(COUNTIF(J159:Q159,"بله")/(COUNTIF(J159:Q159,"بله")+COUNTIF(J159:Q159,"خیر")),""))</f>
        <v/>
      </c>
      <c r="AB159" s="14" t="str">
        <f aca="false">IF(B159="","",IF(Z159="مطابق",0,IF(Z159="مطابق، دوز مازاد",N(X159)*N(W159),(N(R159)-N(T159))*N(W159))))</f>
        <v/>
      </c>
      <c r="AC159" s="12"/>
      <c r="AD159" s="12"/>
      <c r="AE159" s="10" t="str">
        <f aca="false">IF(B159="","",IF(AND(N(AC159)&gt;0,NOT(OR(Z159="مطابق",Z159="مطابق، دوز مازاد"))),"ریسک کسورات",IF(AND(OR(Z159="مطابق",Z159="مطابق، دوز مازاد"),N(AC159)=0,D159&lt;&gt;"آزاد",D159&lt;&gt;""),"بررسی امکان دریافت از بیمه","")))</f>
        <v/>
      </c>
      <c r="AF159" s="11"/>
    </row>
    <row r="160" customFormat="false" ht="15" hidden="false" customHeight="false" outlineLevel="0" collapsed="false">
      <c r="A160" s="10" t="str">
        <f aca="false">IF(B160="","",ROW()-2)</f>
        <v/>
      </c>
      <c r="B160" s="11"/>
      <c r="C160" s="11"/>
      <c r="D160" s="11"/>
      <c r="E160" s="11"/>
      <c r="F160" s="11"/>
      <c r="G160" s="11"/>
      <c r="H160" s="10" t="str">
        <f aca="false">IF(G160="","",IFERROR(INDEX('اندیکاسیون‌ها'!$C$3:$C$22,MATCH(G160,'اندیکاسیون‌ها'!$A$3:$A$22,0)),"کد نامعتبر"))</f>
        <v/>
      </c>
      <c r="I160" s="10" t="str">
        <f aca="false">IF(G160="","",IFERROR(INDEX('اندیکاسیون‌ها'!$B$3:$B$22,MATCH(G160,'اندیکاسیون‌ها'!$A$3:$A$22,0)),""))</f>
        <v/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 t="str">
        <f aca="false">IF(G160="","",IFERROR(INDEX('اندیکاسیون‌ها'!$F$3:$F$22,MATCH(G160,'اندیکاسیون‌ها'!$A$3:$A$22,0)),""))</f>
        <v/>
      </c>
      <c r="V160" s="11"/>
      <c r="W160" s="12"/>
      <c r="X160" s="10" t="str">
        <f aca="false">IF(OR(B160="",IF(V160&lt;&gt;"",V160,U160)=""),"",MAX(0,N(R160)-N(T160)-IF(V160&lt;&gt;"",V160,U160)))</f>
        <v/>
      </c>
      <c r="Y160" s="10" t="str">
        <f aca="false">IF(B160="","",N(R160)-N(S160)-N(T160))</f>
        <v/>
      </c>
      <c r="Z160" s="10" t="str">
        <f aca="false">IF(B160="","",IF(OR(G160="",G160="U0"),"اندیکاسیون نامشخص",IF(I160="بدون اندیکاسیون","بدون اندیکاسیون",IF(AND(I160="خارج از جدول",P160&lt;&gt;"بله"),"خارج از جدول بدون تأیید",IF(L160&lt;&gt;"بله","معیار مستند نشده",IF(N(X160)&gt;0,"مطابق، دوز مازاد","مطابق"))))))</f>
        <v/>
      </c>
      <c r="AA160" s="13" t="str">
        <f aca="false">IF(B160="","",IFERROR(COUNTIF(J160:Q160,"بله")/(COUNTIF(J160:Q160,"بله")+COUNTIF(J160:Q160,"خیر")),""))</f>
        <v/>
      </c>
      <c r="AB160" s="14" t="str">
        <f aca="false">IF(B160="","",IF(Z160="مطابق",0,IF(Z160="مطابق، دوز مازاد",N(X160)*N(W160),(N(R160)-N(T160))*N(W160))))</f>
        <v/>
      </c>
      <c r="AC160" s="12"/>
      <c r="AD160" s="12"/>
      <c r="AE160" s="10" t="str">
        <f aca="false">IF(B160="","",IF(AND(N(AC160)&gt;0,NOT(OR(Z160="مطابق",Z160="مطابق، دوز مازاد"))),"ریسک کسورات",IF(AND(OR(Z160="مطابق",Z160="مطابق، دوز مازاد"),N(AC160)=0,D160&lt;&gt;"آزاد",D160&lt;&gt;""),"بررسی امکان دریافت از بیمه","")))</f>
        <v/>
      </c>
      <c r="AF160" s="11"/>
    </row>
    <row r="161" customFormat="false" ht="15" hidden="false" customHeight="false" outlineLevel="0" collapsed="false">
      <c r="A161" s="10" t="str">
        <f aca="false">IF(B161="","",ROW()-2)</f>
        <v/>
      </c>
      <c r="B161" s="11"/>
      <c r="C161" s="11"/>
      <c r="D161" s="11"/>
      <c r="E161" s="11"/>
      <c r="F161" s="11"/>
      <c r="G161" s="11"/>
      <c r="H161" s="10" t="str">
        <f aca="false">IF(G161="","",IFERROR(INDEX('اندیکاسیون‌ها'!$C$3:$C$22,MATCH(G161,'اندیکاسیون‌ها'!$A$3:$A$22,0)),"کد نامعتبر"))</f>
        <v/>
      </c>
      <c r="I161" s="10" t="str">
        <f aca="false">IF(G161="","",IFERROR(INDEX('اندیکاسیون‌ها'!$B$3:$B$22,MATCH(G161,'اندیکاسیون‌ها'!$A$3:$A$22,0)),""))</f>
        <v/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0" t="str">
        <f aca="false">IF(G161="","",IFERROR(INDEX('اندیکاسیون‌ها'!$F$3:$F$22,MATCH(G161,'اندیکاسیون‌ها'!$A$3:$A$22,0)),""))</f>
        <v/>
      </c>
      <c r="V161" s="11"/>
      <c r="W161" s="12"/>
      <c r="X161" s="10" t="str">
        <f aca="false">IF(OR(B161="",IF(V161&lt;&gt;"",V161,U161)=""),"",MAX(0,N(R161)-N(T161)-IF(V161&lt;&gt;"",V161,U161)))</f>
        <v/>
      </c>
      <c r="Y161" s="10" t="str">
        <f aca="false">IF(B161="","",N(R161)-N(S161)-N(T161))</f>
        <v/>
      </c>
      <c r="Z161" s="10" t="str">
        <f aca="false">IF(B161="","",IF(OR(G161="",G161="U0"),"اندیکاسیون نامشخص",IF(I161="بدون اندیکاسیون","بدون اندیکاسیون",IF(AND(I161="خارج از جدول",P161&lt;&gt;"بله"),"خارج از جدول بدون تأیید",IF(L161&lt;&gt;"بله","معیار مستند نشده",IF(N(X161)&gt;0,"مطابق، دوز مازاد","مطابق"))))))</f>
        <v/>
      </c>
      <c r="AA161" s="13" t="str">
        <f aca="false">IF(B161="","",IFERROR(COUNTIF(J161:Q161,"بله")/(COUNTIF(J161:Q161,"بله")+COUNTIF(J161:Q161,"خیر")),""))</f>
        <v/>
      </c>
      <c r="AB161" s="14" t="str">
        <f aca="false">IF(B161="","",IF(Z161="مطابق",0,IF(Z161="مطابق، دوز مازاد",N(X161)*N(W161),(N(R161)-N(T161))*N(W161))))</f>
        <v/>
      </c>
      <c r="AC161" s="12"/>
      <c r="AD161" s="12"/>
      <c r="AE161" s="10" t="str">
        <f aca="false">IF(B161="","",IF(AND(N(AC161)&gt;0,NOT(OR(Z161="مطابق",Z161="مطابق، دوز مازاد"))),"ریسک کسورات",IF(AND(OR(Z161="مطابق",Z161="مطابق، دوز مازاد"),N(AC161)=0,D161&lt;&gt;"آزاد",D161&lt;&gt;""),"بررسی امکان دریافت از بیمه","")))</f>
        <v/>
      </c>
      <c r="AF161" s="11"/>
    </row>
    <row r="162" customFormat="false" ht="15" hidden="false" customHeight="false" outlineLevel="0" collapsed="false">
      <c r="A162" s="10" t="str">
        <f aca="false">IF(B162="","",ROW()-2)</f>
        <v/>
      </c>
      <c r="B162" s="11"/>
      <c r="C162" s="11"/>
      <c r="D162" s="11"/>
      <c r="E162" s="11"/>
      <c r="F162" s="11"/>
      <c r="G162" s="11"/>
      <c r="H162" s="10" t="str">
        <f aca="false">IF(G162="","",IFERROR(INDEX('اندیکاسیون‌ها'!$C$3:$C$22,MATCH(G162,'اندیکاسیون‌ها'!$A$3:$A$22,0)),"کد نامعتبر"))</f>
        <v/>
      </c>
      <c r="I162" s="10" t="str">
        <f aca="false">IF(G162="","",IFERROR(INDEX('اندیکاسیون‌ها'!$B$3:$B$22,MATCH(G162,'اندیکاسیون‌ها'!$A$3:$A$22,0)),""))</f>
        <v/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0" t="str">
        <f aca="false">IF(G162="","",IFERROR(INDEX('اندیکاسیون‌ها'!$F$3:$F$22,MATCH(G162,'اندیکاسیون‌ها'!$A$3:$A$22,0)),""))</f>
        <v/>
      </c>
      <c r="V162" s="11"/>
      <c r="W162" s="12"/>
      <c r="X162" s="10" t="str">
        <f aca="false">IF(OR(B162="",IF(V162&lt;&gt;"",V162,U162)=""),"",MAX(0,N(R162)-N(T162)-IF(V162&lt;&gt;"",V162,U162)))</f>
        <v/>
      </c>
      <c r="Y162" s="10" t="str">
        <f aca="false">IF(B162="","",N(R162)-N(S162)-N(T162))</f>
        <v/>
      </c>
      <c r="Z162" s="10" t="str">
        <f aca="false">IF(B162="","",IF(OR(G162="",G162="U0"),"اندیکاسیون نامشخص",IF(I162="بدون اندیکاسیون","بدون اندیکاسیون",IF(AND(I162="خارج از جدول",P162&lt;&gt;"بله"),"خارج از جدول بدون تأیید",IF(L162&lt;&gt;"بله","معیار مستند نشده",IF(N(X162)&gt;0,"مطابق، دوز مازاد","مطابق"))))))</f>
        <v/>
      </c>
      <c r="AA162" s="13" t="str">
        <f aca="false">IF(B162="","",IFERROR(COUNTIF(J162:Q162,"بله")/(COUNTIF(J162:Q162,"بله")+COUNTIF(J162:Q162,"خیر")),""))</f>
        <v/>
      </c>
      <c r="AB162" s="14" t="str">
        <f aca="false">IF(B162="","",IF(Z162="مطابق",0,IF(Z162="مطابق، دوز مازاد",N(X162)*N(W162),(N(R162)-N(T162))*N(W162))))</f>
        <v/>
      </c>
      <c r="AC162" s="12"/>
      <c r="AD162" s="12"/>
      <c r="AE162" s="10" t="str">
        <f aca="false">IF(B162="","",IF(AND(N(AC162)&gt;0,NOT(OR(Z162="مطابق",Z162="مطابق، دوز مازاد"))),"ریسک کسورات",IF(AND(OR(Z162="مطابق",Z162="مطابق، دوز مازاد"),N(AC162)=0,D162&lt;&gt;"آزاد",D162&lt;&gt;""),"بررسی امکان دریافت از بیمه","")))</f>
        <v/>
      </c>
      <c r="AF162" s="11"/>
    </row>
    <row r="163" customFormat="false" ht="15" hidden="false" customHeight="false" outlineLevel="0" collapsed="false">
      <c r="A163" s="10" t="str">
        <f aca="false">IF(B163="","",ROW()-2)</f>
        <v/>
      </c>
      <c r="B163" s="11"/>
      <c r="C163" s="11"/>
      <c r="D163" s="11"/>
      <c r="E163" s="11"/>
      <c r="F163" s="11"/>
      <c r="G163" s="11"/>
      <c r="H163" s="10" t="str">
        <f aca="false">IF(G163="","",IFERROR(INDEX('اندیکاسیون‌ها'!$C$3:$C$22,MATCH(G163,'اندیکاسیون‌ها'!$A$3:$A$22,0)),"کد نامعتبر"))</f>
        <v/>
      </c>
      <c r="I163" s="10" t="str">
        <f aca="false">IF(G163="","",IFERROR(INDEX('اندیکاسیون‌ها'!$B$3:$B$22,MATCH(G163,'اندیکاسیون‌ها'!$A$3:$A$22,0)),""))</f>
        <v/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0" t="str">
        <f aca="false">IF(G163="","",IFERROR(INDEX('اندیکاسیون‌ها'!$F$3:$F$22,MATCH(G163,'اندیکاسیون‌ها'!$A$3:$A$22,0)),""))</f>
        <v/>
      </c>
      <c r="V163" s="11"/>
      <c r="W163" s="12"/>
      <c r="X163" s="10" t="str">
        <f aca="false">IF(OR(B163="",IF(V163&lt;&gt;"",V163,U163)=""),"",MAX(0,N(R163)-N(T163)-IF(V163&lt;&gt;"",V163,U163)))</f>
        <v/>
      </c>
      <c r="Y163" s="10" t="str">
        <f aca="false">IF(B163="","",N(R163)-N(S163)-N(T163))</f>
        <v/>
      </c>
      <c r="Z163" s="10" t="str">
        <f aca="false">IF(B163="","",IF(OR(G163="",G163="U0"),"اندیکاسیون نامشخص",IF(I163="بدون اندیکاسیون","بدون اندیکاسیون",IF(AND(I163="خارج از جدول",P163&lt;&gt;"بله"),"خارج از جدول بدون تأیید",IF(L163&lt;&gt;"بله","معیار مستند نشده",IF(N(X163)&gt;0,"مطابق، دوز مازاد","مطابق"))))))</f>
        <v/>
      </c>
      <c r="AA163" s="13" t="str">
        <f aca="false">IF(B163="","",IFERROR(COUNTIF(J163:Q163,"بله")/(COUNTIF(J163:Q163,"بله")+COUNTIF(J163:Q163,"خیر")),""))</f>
        <v/>
      </c>
      <c r="AB163" s="14" t="str">
        <f aca="false">IF(B163="","",IF(Z163="مطابق",0,IF(Z163="مطابق، دوز مازاد",N(X163)*N(W163),(N(R163)-N(T163))*N(W163))))</f>
        <v/>
      </c>
      <c r="AC163" s="12"/>
      <c r="AD163" s="12"/>
      <c r="AE163" s="10" t="str">
        <f aca="false">IF(B163="","",IF(AND(N(AC163)&gt;0,NOT(OR(Z163="مطابق",Z163="مطابق، دوز مازاد"))),"ریسک کسورات",IF(AND(OR(Z163="مطابق",Z163="مطابق، دوز مازاد"),N(AC163)=0,D163&lt;&gt;"آزاد",D163&lt;&gt;""),"بررسی امکان دریافت از بیمه","")))</f>
        <v/>
      </c>
      <c r="AF163" s="11"/>
    </row>
    <row r="164" customFormat="false" ht="15" hidden="false" customHeight="false" outlineLevel="0" collapsed="false">
      <c r="A164" s="10" t="str">
        <f aca="false">IF(B164="","",ROW()-2)</f>
        <v/>
      </c>
      <c r="B164" s="11"/>
      <c r="C164" s="11"/>
      <c r="D164" s="11"/>
      <c r="E164" s="11"/>
      <c r="F164" s="11"/>
      <c r="G164" s="11"/>
      <c r="H164" s="10" t="str">
        <f aca="false">IF(G164="","",IFERROR(INDEX('اندیکاسیون‌ها'!$C$3:$C$22,MATCH(G164,'اندیکاسیون‌ها'!$A$3:$A$22,0)),"کد نامعتبر"))</f>
        <v/>
      </c>
      <c r="I164" s="10" t="str">
        <f aca="false">IF(G164="","",IFERROR(INDEX('اندیکاسیون‌ها'!$B$3:$B$22,MATCH(G164,'اندیکاسیون‌ها'!$A$3:$A$22,0)),""))</f>
        <v/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 t="str">
        <f aca="false">IF(G164="","",IFERROR(INDEX('اندیکاسیون‌ها'!$F$3:$F$22,MATCH(G164,'اندیکاسیون‌ها'!$A$3:$A$22,0)),""))</f>
        <v/>
      </c>
      <c r="V164" s="11"/>
      <c r="W164" s="12"/>
      <c r="X164" s="10" t="str">
        <f aca="false">IF(OR(B164="",IF(V164&lt;&gt;"",V164,U164)=""),"",MAX(0,N(R164)-N(T164)-IF(V164&lt;&gt;"",V164,U164)))</f>
        <v/>
      </c>
      <c r="Y164" s="10" t="str">
        <f aca="false">IF(B164="","",N(R164)-N(S164)-N(T164))</f>
        <v/>
      </c>
      <c r="Z164" s="10" t="str">
        <f aca="false">IF(B164="","",IF(OR(G164="",G164="U0"),"اندیکاسیون نامشخص",IF(I164="بدون اندیکاسیون","بدون اندیکاسیون",IF(AND(I164="خارج از جدول",P164&lt;&gt;"بله"),"خارج از جدول بدون تأیید",IF(L164&lt;&gt;"بله","معیار مستند نشده",IF(N(X164)&gt;0,"مطابق، دوز مازاد","مطابق"))))))</f>
        <v/>
      </c>
      <c r="AA164" s="13" t="str">
        <f aca="false">IF(B164="","",IFERROR(COUNTIF(J164:Q164,"بله")/(COUNTIF(J164:Q164,"بله")+COUNTIF(J164:Q164,"خیر")),""))</f>
        <v/>
      </c>
      <c r="AB164" s="14" t="str">
        <f aca="false">IF(B164="","",IF(Z164="مطابق",0,IF(Z164="مطابق، دوز مازاد",N(X164)*N(W164),(N(R164)-N(T164))*N(W164))))</f>
        <v/>
      </c>
      <c r="AC164" s="12"/>
      <c r="AD164" s="12"/>
      <c r="AE164" s="10" t="str">
        <f aca="false">IF(B164="","",IF(AND(N(AC164)&gt;0,NOT(OR(Z164="مطابق",Z164="مطابق، دوز مازاد"))),"ریسک کسورات",IF(AND(OR(Z164="مطابق",Z164="مطابق، دوز مازاد"),N(AC164)=0,D164&lt;&gt;"آزاد",D164&lt;&gt;""),"بررسی امکان دریافت از بیمه","")))</f>
        <v/>
      </c>
      <c r="AF164" s="11"/>
    </row>
    <row r="165" customFormat="false" ht="15" hidden="false" customHeight="false" outlineLevel="0" collapsed="false">
      <c r="A165" s="10" t="str">
        <f aca="false">IF(B165="","",ROW()-2)</f>
        <v/>
      </c>
      <c r="B165" s="11"/>
      <c r="C165" s="11"/>
      <c r="D165" s="11"/>
      <c r="E165" s="11"/>
      <c r="F165" s="11"/>
      <c r="G165" s="11"/>
      <c r="H165" s="10" t="str">
        <f aca="false">IF(G165="","",IFERROR(INDEX('اندیکاسیون‌ها'!$C$3:$C$22,MATCH(G165,'اندیکاسیون‌ها'!$A$3:$A$22,0)),"کد نامعتبر"))</f>
        <v/>
      </c>
      <c r="I165" s="10" t="str">
        <f aca="false">IF(G165="","",IFERROR(INDEX('اندیکاسیون‌ها'!$B$3:$B$22,MATCH(G165,'اندیکاسیون‌ها'!$A$3:$A$22,0)),""))</f>
        <v/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 t="str">
        <f aca="false">IF(G165="","",IFERROR(INDEX('اندیکاسیون‌ها'!$F$3:$F$22,MATCH(G165,'اندیکاسیون‌ها'!$A$3:$A$22,0)),""))</f>
        <v/>
      </c>
      <c r="V165" s="11"/>
      <c r="W165" s="12"/>
      <c r="X165" s="10" t="str">
        <f aca="false">IF(OR(B165="",IF(V165&lt;&gt;"",V165,U165)=""),"",MAX(0,N(R165)-N(T165)-IF(V165&lt;&gt;"",V165,U165)))</f>
        <v/>
      </c>
      <c r="Y165" s="10" t="str">
        <f aca="false">IF(B165="","",N(R165)-N(S165)-N(T165))</f>
        <v/>
      </c>
      <c r="Z165" s="10" t="str">
        <f aca="false">IF(B165="","",IF(OR(G165="",G165="U0"),"اندیکاسیون نامشخص",IF(I165="بدون اندیکاسیون","بدون اندیکاسیون",IF(AND(I165="خارج از جدول",P165&lt;&gt;"بله"),"خارج از جدول بدون تأیید",IF(L165&lt;&gt;"بله","معیار مستند نشده",IF(N(X165)&gt;0,"مطابق، دوز مازاد","مطابق"))))))</f>
        <v/>
      </c>
      <c r="AA165" s="13" t="str">
        <f aca="false">IF(B165="","",IFERROR(COUNTIF(J165:Q165,"بله")/(COUNTIF(J165:Q165,"بله")+COUNTIF(J165:Q165,"خیر")),""))</f>
        <v/>
      </c>
      <c r="AB165" s="14" t="str">
        <f aca="false">IF(B165="","",IF(Z165="مطابق",0,IF(Z165="مطابق، دوز مازاد",N(X165)*N(W165),(N(R165)-N(T165))*N(W165))))</f>
        <v/>
      </c>
      <c r="AC165" s="12"/>
      <c r="AD165" s="12"/>
      <c r="AE165" s="10" t="str">
        <f aca="false">IF(B165="","",IF(AND(N(AC165)&gt;0,NOT(OR(Z165="مطابق",Z165="مطابق، دوز مازاد"))),"ریسک کسورات",IF(AND(OR(Z165="مطابق",Z165="مطابق، دوز مازاد"),N(AC165)=0,D165&lt;&gt;"آزاد",D165&lt;&gt;""),"بررسی امکان دریافت از بیمه","")))</f>
        <v/>
      </c>
      <c r="AF165" s="11"/>
    </row>
    <row r="166" customFormat="false" ht="15" hidden="false" customHeight="false" outlineLevel="0" collapsed="false">
      <c r="A166" s="10" t="str">
        <f aca="false">IF(B166="","",ROW()-2)</f>
        <v/>
      </c>
      <c r="B166" s="11"/>
      <c r="C166" s="11"/>
      <c r="D166" s="11"/>
      <c r="E166" s="11"/>
      <c r="F166" s="11"/>
      <c r="G166" s="11"/>
      <c r="H166" s="10" t="str">
        <f aca="false">IF(G166="","",IFERROR(INDEX('اندیکاسیون‌ها'!$C$3:$C$22,MATCH(G166,'اندیکاسیون‌ها'!$A$3:$A$22,0)),"کد نامعتبر"))</f>
        <v/>
      </c>
      <c r="I166" s="10" t="str">
        <f aca="false">IF(G166="","",IFERROR(INDEX('اندیکاسیون‌ها'!$B$3:$B$22,MATCH(G166,'اندیکاسیون‌ها'!$A$3:$A$22,0)),""))</f>
        <v/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0" t="str">
        <f aca="false">IF(G166="","",IFERROR(INDEX('اندیکاسیون‌ها'!$F$3:$F$22,MATCH(G166,'اندیکاسیون‌ها'!$A$3:$A$22,0)),""))</f>
        <v/>
      </c>
      <c r="V166" s="11"/>
      <c r="W166" s="12"/>
      <c r="X166" s="10" t="str">
        <f aca="false">IF(OR(B166="",IF(V166&lt;&gt;"",V166,U166)=""),"",MAX(0,N(R166)-N(T166)-IF(V166&lt;&gt;"",V166,U166)))</f>
        <v/>
      </c>
      <c r="Y166" s="10" t="str">
        <f aca="false">IF(B166="","",N(R166)-N(S166)-N(T166))</f>
        <v/>
      </c>
      <c r="Z166" s="10" t="str">
        <f aca="false">IF(B166="","",IF(OR(G166="",G166="U0"),"اندیکاسیون نامشخص",IF(I166="بدون اندیکاسیون","بدون اندیکاسیون",IF(AND(I166="خارج از جدول",P166&lt;&gt;"بله"),"خارج از جدول بدون تأیید",IF(L166&lt;&gt;"بله","معیار مستند نشده",IF(N(X166)&gt;0,"مطابق، دوز مازاد","مطابق"))))))</f>
        <v/>
      </c>
      <c r="AA166" s="13" t="str">
        <f aca="false">IF(B166="","",IFERROR(COUNTIF(J166:Q166,"بله")/(COUNTIF(J166:Q166,"بله")+COUNTIF(J166:Q166,"خیر")),""))</f>
        <v/>
      </c>
      <c r="AB166" s="14" t="str">
        <f aca="false">IF(B166="","",IF(Z166="مطابق",0,IF(Z166="مطابق، دوز مازاد",N(X166)*N(W166),(N(R166)-N(T166))*N(W166))))</f>
        <v/>
      </c>
      <c r="AC166" s="12"/>
      <c r="AD166" s="12"/>
      <c r="AE166" s="10" t="str">
        <f aca="false">IF(B166="","",IF(AND(N(AC166)&gt;0,NOT(OR(Z166="مطابق",Z166="مطابق، دوز مازاد"))),"ریسک کسورات",IF(AND(OR(Z166="مطابق",Z166="مطابق، دوز مازاد"),N(AC166)=0,D166&lt;&gt;"آزاد",D166&lt;&gt;""),"بررسی امکان دریافت از بیمه","")))</f>
        <v/>
      </c>
      <c r="AF166" s="11"/>
    </row>
    <row r="167" customFormat="false" ht="15" hidden="false" customHeight="false" outlineLevel="0" collapsed="false">
      <c r="A167" s="10" t="str">
        <f aca="false">IF(B167="","",ROW()-2)</f>
        <v/>
      </c>
      <c r="B167" s="11"/>
      <c r="C167" s="11"/>
      <c r="D167" s="11"/>
      <c r="E167" s="11"/>
      <c r="F167" s="11"/>
      <c r="G167" s="11"/>
      <c r="H167" s="10" t="str">
        <f aca="false">IF(G167="","",IFERROR(INDEX('اندیکاسیون‌ها'!$C$3:$C$22,MATCH(G167,'اندیکاسیون‌ها'!$A$3:$A$22,0)),"کد نامعتبر"))</f>
        <v/>
      </c>
      <c r="I167" s="10" t="str">
        <f aca="false">IF(G167="","",IFERROR(INDEX('اندیکاسیون‌ها'!$B$3:$B$22,MATCH(G167,'اندیکاسیون‌ها'!$A$3:$A$22,0)),""))</f>
        <v/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0" t="str">
        <f aca="false">IF(G167="","",IFERROR(INDEX('اندیکاسیون‌ها'!$F$3:$F$22,MATCH(G167,'اندیکاسیون‌ها'!$A$3:$A$22,0)),""))</f>
        <v/>
      </c>
      <c r="V167" s="11"/>
      <c r="W167" s="12"/>
      <c r="X167" s="10" t="str">
        <f aca="false">IF(OR(B167="",IF(V167&lt;&gt;"",V167,U167)=""),"",MAX(0,N(R167)-N(T167)-IF(V167&lt;&gt;"",V167,U167)))</f>
        <v/>
      </c>
      <c r="Y167" s="10" t="str">
        <f aca="false">IF(B167="","",N(R167)-N(S167)-N(T167))</f>
        <v/>
      </c>
      <c r="Z167" s="10" t="str">
        <f aca="false">IF(B167="","",IF(OR(G167="",G167="U0"),"اندیکاسیون نامشخص",IF(I167="بدون اندیکاسیون","بدون اندیکاسیون",IF(AND(I167="خارج از جدول",P167&lt;&gt;"بله"),"خارج از جدول بدون تأیید",IF(L167&lt;&gt;"بله","معیار مستند نشده",IF(N(X167)&gt;0,"مطابق، دوز مازاد","مطابق"))))))</f>
        <v/>
      </c>
      <c r="AA167" s="13" t="str">
        <f aca="false">IF(B167="","",IFERROR(COUNTIF(J167:Q167,"بله")/(COUNTIF(J167:Q167,"بله")+COUNTIF(J167:Q167,"خیر")),""))</f>
        <v/>
      </c>
      <c r="AB167" s="14" t="str">
        <f aca="false">IF(B167="","",IF(Z167="مطابق",0,IF(Z167="مطابق، دوز مازاد",N(X167)*N(W167),(N(R167)-N(T167))*N(W167))))</f>
        <v/>
      </c>
      <c r="AC167" s="12"/>
      <c r="AD167" s="12"/>
      <c r="AE167" s="10" t="str">
        <f aca="false">IF(B167="","",IF(AND(N(AC167)&gt;0,NOT(OR(Z167="مطابق",Z167="مطابق، دوز مازاد"))),"ریسک کسورات",IF(AND(OR(Z167="مطابق",Z167="مطابق، دوز مازاد"),N(AC167)=0,D167&lt;&gt;"آزاد",D167&lt;&gt;""),"بررسی امکان دریافت از بیمه","")))</f>
        <v/>
      </c>
      <c r="AF167" s="11"/>
    </row>
    <row r="168" customFormat="false" ht="15" hidden="false" customHeight="false" outlineLevel="0" collapsed="false">
      <c r="A168" s="10" t="str">
        <f aca="false">IF(B168="","",ROW()-2)</f>
        <v/>
      </c>
      <c r="B168" s="11"/>
      <c r="C168" s="11"/>
      <c r="D168" s="11"/>
      <c r="E168" s="11"/>
      <c r="F168" s="11"/>
      <c r="G168" s="11"/>
      <c r="H168" s="10" t="str">
        <f aca="false">IF(G168="","",IFERROR(INDEX('اندیکاسیون‌ها'!$C$3:$C$22,MATCH(G168,'اندیکاسیون‌ها'!$A$3:$A$22,0)),"کد نامعتبر"))</f>
        <v/>
      </c>
      <c r="I168" s="10" t="str">
        <f aca="false">IF(G168="","",IFERROR(INDEX('اندیکاسیون‌ها'!$B$3:$B$22,MATCH(G168,'اندیکاسیون‌ها'!$A$3:$A$22,0)),""))</f>
        <v/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0" t="str">
        <f aca="false">IF(G168="","",IFERROR(INDEX('اندیکاسیون‌ها'!$F$3:$F$22,MATCH(G168,'اندیکاسیون‌ها'!$A$3:$A$22,0)),""))</f>
        <v/>
      </c>
      <c r="V168" s="11"/>
      <c r="W168" s="12"/>
      <c r="X168" s="10" t="str">
        <f aca="false">IF(OR(B168="",IF(V168&lt;&gt;"",V168,U168)=""),"",MAX(0,N(R168)-N(T168)-IF(V168&lt;&gt;"",V168,U168)))</f>
        <v/>
      </c>
      <c r="Y168" s="10" t="str">
        <f aca="false">IF(B168="","",N(R168)-N(S168)-N(T168))</f>
        <v/>
      </c>
      <c r="Z168" s="10" t="str">
        <f aca="false">IF(B168="","",IF(OR(G168="",G168="U0"),"اندیکاسیون نامشخص",IF(I168="بدون اندیکاسیون","بدون اندیکاسیون",IF(AND(I168="خارج از جدول",P168&lt;&gt;"بله"),"خارج از جدول بدون تأیید",IF(L168&lt;&gt;"بله","معیار مستند نشده",IF(N(X168)&gt;0,"مطابق، دوز مازاد","مطابق"))))))</f>
        <v/>
      </c>
      <c r="AA168" s="13" t="str">
        <f aca="false">IF(B168="","",IFERROR(COUNTIF(J168:Q168,"بله")/(COUNTIF(J168:Q168,"بله")+COUNTIF(J168:Q168,"خیر")),""))</f>
        <v/>
      </c>
      <c r="AB168" s="14" t="str">
        <f aca="false">IF(B168="","",IF(Z168="مطابق",0,IF(Z168="مطابق، دوز مازاد",N(X168)*N(W168),(N(R168)-N(T168))*N(W168))))</f>
        <v/>
      </c>
      <c r="AC168" s="12"/>
      <c r="AD168" s="12"/>
      <c r="AE168" s="10" t="str">
        <f aca="false">IF(B168="","",IF(AND(N(AC168)&gt;0,NOT(OR(Z168="مطابق",Z168="مطابق، دوز مازاد"))),"ریسک کسورات",IF(AND(OR(Z168="مطابق",Z168="مطابق، دوز مازاد"),N(AC168)=0,D168&lt;&gt;"آزاد",D168&lt;&gt;""),"بررسی امکان دریافت از بیمه","")))</f>
        <v/>
      </c>
      <c r="AF168" s="11"/>
    </row>
    <row r="169" customFormat="false" ht="15" hidden="false" customHeight="false" outlineLevel="0" collapsed="false">
      <c r="A169" s="10" t="str">
        <f aca="false">IF(B169="","",ROW()-2)</f>
        <v/>
      </c>
      <c r="B169" s="11"/>
      <c r="C169" s="11"/>
      <c r="D169" s="11"/>
      <c r="E169" s="11"/>
      <c r="F169" s="11"/>
      <c r="G169" s="11"/>
      <c r="H169" s="10" t="str">
        <f aca="false">IF(G169="","",IFERROR(INDEX('اندیکاسیون‌ها'!$C$3:$C$22,MATCH(G169,'اندیکاسیون‌ها'!$A$3:$A$22,0)),"کد نامعتبر"))</f>
        <v/>
      </c>
      <c r="I169" s="10" t="str">
        <f aca="false">IF(G169="","",IFERROR(INDEX('اندیکاسیون‌ها'!$B$3:$B$22,MATCH(G169,'اندیکاسیون‌ها'!$A$3:$A$22,0)),""))</f>
        <v/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0" t="str">
        <f aca="false">IF(G169="","",IFERROR(INDEX('اندیکاسیون‌ها'!$F$3:$F$22,MATCH(G169,'اندیکاسیون‌ها'!$A$3:$A$22,0)),""))</f>
        <v/>
      </c>
      <c r="V169" s="11"/>
      <c r="W169" s="12"/>
      <c r="X169" s="10" t="str">
        <f aca="false">IF(OR(B169="",IF(V169&lt;&gt;"",V169,U169)=""),"",MAX(0,N(R169)-N(T169)-IF(V169&lt;&gt;"",V169,U169)))</f>
        <v/>
      </c>
      <c r="Y169" s="10" t="str">
        <f aca="false">IF(B169="","",N(R169)-N(S169)-N(T169))</f>
        <v/>
      </c>
      <c r="Z169" s="10" t="str">
        <f aca="false">IF(B169="","",IF(OR(G169="",G169="U0"),"اندیکاسیون نامشخص",IF(I169="بدون اندیکاسیون","بدون اندیکاسیون",IF(AND(I169="خارج از جدول",P169&lt;&gt;"بله"),"خارج از جدول بدون تأیید",IF(L169&lt;&gt;"بله","معیار مستند نشده",IF(N(X169)&gt;0,"مطابق، دوز مازاد","مطابق"))))))</f>
        <v/>
      </c>
      <c r="AA169" s="13" t="str">
        <f aca="false">IF(B169="","",IFERROR(COUNTIF(J169:Q169,"بله")/(COUNTIF(J169:Q169,"بله")+COUNTIF(J169:Q169,"خیر")),""))</f>
        <v/>
      </c>
      <c r="AB169" s="14" t="str">
        <f aca="false">IF(B169="","",IF(Z169="مطابق",0,IF(Z169="مطابق، دوز مازاد",N(X169)*N(W169),(N(R169)-N(T169))*N(W169))))</f>
        <v/>
      </c>
      <c r="AC169" s="12"/>
      <c r="AD169" s="12"/>
      <c r="AE169" s="10" t="str">
        <f aca="false">IF(B169="","",IF(AND(N(AC169)&gt;0,NOT(OR(Z169="مطابق",Z169="مطابق، دوز مازاد"))),"ریسک کسورات",IF(AND(OR(Z169="مطابق",Z169="مطابق، دوز مازاد"),N(AC169)=0,D169&lt;&gt;"آزاد",D169&lt;&gt;""),"بررسی امکان دریافت از بیمه","")))</f>
        <v/>
      </c>
      <c r="AF169" s="11"/>
    </row>
    <row r="170" customFormat="false" ht="15" hidden="false" customHeight="false" outlineLevel="0" collapsed="false">
      <c r="A170" s="10" t="str">
        <f aca="false">IF(B170="","",ROW()-2)</f>
        <v/>
      </c>
      <c r="B170" s="11"/>
      <c r="C170" s="11"/>
      <c r="D170" s="11"/>
      <c r="E170" s="11"/>
      <c r="F170" s="11"/>
      <c r="G170" s="11"/>
      <c r="H170" s="10" t="str">
        <f aca="false">IF(G170="","",IFERROR(INDEX('اندیکاسیون‌ها'!$C$3:$C$22,MATCH(G170,'اندیکاسیون‌ها'!$A$3:$A$22,0)),"کد نامعتبر"))</f>
        <v/>
      </c>
      <c r="I170" s="10" t="str">
        <f aca="false">IF(G170="","",IFERROR(INDEX('اندیکاسیون‌ها'!$B$3:$B$22,MATCH(G170,'اندیکاسیون‌ها'!$A$3:$A$22,0)),""))</f>
        <v/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0" t="str">
        <f aca="false">IF(G170="","",IFERROR(INDEX('اندیکاسیون‌ها'!$F$3:$F$22,MATCH(G170,'اندیکاسیون‌ها'!$A$3:$A$22,0)),""))</f>
        <v/>
      </c>
      <c r="V170" s="11"/>
      <c r="W170" s="12"/>
      <c r="X170" s="10" t="str">
        <f aca="false">IF(OR(B170="",IF(V170&lt;&gt;"",V170,U170)=""),"",MAX(0,N(R170)-N(T170)-IF(V170&lt;&gt;"",V170,U170)))</f>
        <v/>
      </c>
      <c r="Y170" s="10" t="str">
        <f aca="false">IF(B170="","",N(R170)-N(S170)-N(T170))</f>
        <v/>
      </c>
      <c r="Z170" s="10" t="str">
        <f aca="false">IF(B170="","",IF(OR(G170="",G170="U0"),"اندیکاسیون نامشخص",IF(I170="بدون اندیکاسیون","بدون اندیکاسیون",IF(AND(I170="خارج از جدول",P170&lt;&gt;"بله"),"خارج از جدول بدون تأیید",IF(L170&lt;&gt;"بله","معیار مستند نشده",IF(N(X170)&gt;0,"مطابق، دوز مازاد","مطابق"))))))</f>
        <v/>
      </c>
      <c r="AA170" s="13" t="str">
        <f aca="false">IF(B170="","",IFERROR(COUNTIF(J170:Q170,"بله")/(COUNTIF(J170:Q170,"بله")+COUNTIF(J170:Q170,"خیر")),""))</f>
        <v/>
      </c>
      <c r="AB170" s="14" t="str">
        <f aca="false">IF(B170="","",IF(Z170="مطابق",0,IF(Z170="مطابق، دوز مازاد",N(X170)*N(W170),(N(R170)-N(T170))*N(W170))))</f>
        <v/>
      </c>
      <c r="AC170" s="12"/>
      <c r="AD170" s="12"/>
      <c r="AE170" s="10" t="str">
        <f aca="false">IF(B170="","",IF(AND(N(AC170)&gt;0,NOT(OR(Z170="مطابق",Z170="مطابق، دوز مازاد"))),"ریسک کسورات",IF(AND(OR(Z170="مطابق",Z170="مطابق، دوز مازاد"),N(AC170)=0,D170&lt;&gt;"آزاد",D170&lt;&gt;""),"بررسی امکان دریافت از بیمه","")))</f>
        <v/>
      </c>
      <c r="AF170" s="11"/>
    </row>
    <row r="171" customFormat="false" ht="15" hidden="false" customHeight="false" outlineLevel="0" collapsed="false">
      <c r="A171" s="10" t="str">
        <f aca="false">IF(B171="","",ROW()-2)</f>
        <v/>
      </c>
      <c r="B171" s="11"/>
      <c r="C171" s="11"/>
      <c r="D171" s="11"/>
      <c r="E171" s="11"/>
      <c r="F171" s="11"/>
      <c r="G171" s="11"/>
      <c r="H171" s="10" t="str">
        <f aca="false">IF(G171="","",IFERROR(INDEX('اندیکاسیون‌ها'!$C$3:$C$22,MATCH(G171,'اندیکاسیون‌ها'!$A$3:$A$22,0)),"کد نامعتبر"))</f>
        <v/>
      </c>
      <c r="I171" s="10" t="str">
        <f aca="false">IF(G171="","",IFERROR(INDEX('اندیکاسیون‌ها'!$B$3:$B$22,MATCH(G171,'اندیکاسیون‌ها'!$A$3:$A$22,0)),""))</f>
        <v/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0" t="str">
        <f aca="false">IF(G171="","",IFERROR(INDEX('اندیکاسیون‌ها'!$F$3:$F$22,MATCH(G171,'اندیکاسیون‌ها'!$A$3:$A$22,0)),""))</f>
        <v/>
      </c>
      <c r="V171" s="11"/>
      <c r="W171" s="12"/>
      <c r="X171" s="10" t="str">
        <f aca="false">IF(OR(B171="",IF(V171&lt;&gt;"",V171,U171)=""),"",MAX(0,N(R171)-N(T171)-IF(V171&lt;&gt;"",V171,U171)))</f>
        <v/>
      </c>
      <c r="Y171" s="10" t="str">
        <f aca="false">IF(B171="","",N(R171)-N(S171)-N(T171))</f>
        <v/>
      </c>
      <c r="Z171" s="10" t="str">
        <f aca="false">IF(B171="","",IF(OR(G171="",G171="U0"),"اندیکاسیون نامشخص",IF(I171="بدون اندیکاسیون","بدون اندیکاسیون",IF(AND(I171="خارج از جدول",P171&lt;&gt;"بله"),"خارج از جدول بدون تأیید",IF(L171&lt;&gt;"بله","معیار مستند نشده",IF(N(X171)&gt;0,"مطابق، دوز مازاد","مطابق"))))))</f>
        <v/>
      </c>
      <c r="AA171" s="13" t="str">
        <f aca="false">IF(B171="","",IFERROR(COUNTIF(J171:Q171,"بله")/(COUNTIF(J171:Q171,"بله")+COUNTIF(J171:Q171,"خیر")),""))</f>
        <v/>
      </c>
      <c r="AB171" s="14" t="str">
        <f aca="false">IF(B171="","",IF(Z171="مطابق",0,IF(Z171="مطابق، دوز مازاد",N(X171)*N(W171),(N(R171)-N(T171))*N(W171))))</f>
        <v/>
      </c>
      <c r="AC171" s="12"/>
      <c r="AD171" s="12"/>
      <c r="AE171" s="10" t="str">
        <f aca="false">IF(B171="","",IF(AND(N(AC171)&gt;0,NOT(OR(Z171="مطابق",Z171="مطابق، دوز مازاد"))),"ریسک کسورات",IF(AND(OR(Z171="مطابق",Z171="مطابق، دوز مازاد"),N(AC171)=0,D171&lt;&gt;"آزاد",D171&lt;&gt;""),"بررسی امکان دریافت از بیمه","")))</f>
        <v/>
      </c>
      <c r="AF171" s="11"/>
    </row>
    <row r="172" customFormat="false" ht="15" hidden="false" customHeight="false" outlineLevel="0" collapsed="false">
      <c r="A172" s="10" t="str">
        <f aca="false">IF(B172="","",ROW()-2)</f>
        <v/>
      </c>
      <c r="B172" s="11"/>
      <c r="C172" s="11"/>
      <c r="D172" s="11"/>
      <c r="E172" s="11"/>
      <c r="F172" s="11"/>
      <c r="G172" s="11"/>
      <c r="H172" s="10" t="str">
        <f aca="false">IF(G172="","",IFERROR(INDEX('اندیکاسیون‌ها'!$C$3:$C$22,MATCH(G172,'اندیکاسیون‌ها'!$A$3:$A$22,0)),"کد نامعتبر"))</f>
        <v/>
      </c>
      <c r="I172" s="10" t="str">
        <f aca="false">IF(G172="","",IFERROR(INDEX('اندیکاسیون‌ها'!$B$3:$B$22,MATCH(G172,'اندیکاسیون‌ها'!$A$3:$A$22,0)),""))</f>
        <v/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0" t="str">
        <f aca="false">IF(G172="","",IFERROR(INDEX('اندیکاسیون‌ها'!$F$3:$F$22,MATCH(G172,'اندیکاسیون‌ها'!$A$3:$A$22,0)),""))</f>
        <v/>
      </c>
      <c r="V172" s="11"/>
      <c r="W172" s="12"/>
      <c r="X172" s="10" t="str">
        <f aca="false">IF(OR(B172="",IF(V172&lt;&gt;"",V172,U172)=""),"",MAX(0,N(R172)-N(T172)-IF(V172&lt;&gt;"",V172,U172)))</f>
        <v/>
      </c>
      <c r="Y172" s="10" t="str">
        <f aca="false">IF(B172="","",N(R172)-N(S172)-N(T172))</f>
        <v/>
      </c>
      <c r="Z172" s="10" t="str">
        <f aca="false">IF(B172="","",IF(OR(G172="",G172="U0"),"اندیکاسیون نامشخص",IF(I172="بدون اندیکاسیون","بدون اندیکاسیون",IF(AND(I172="خارج از جدول",P172&lt;&gt;"بله"),"خارج از جدول بدون تأیید",IF(L172&lt;&gt;"بله","معیار مستند نشده",IF(N(X172)&gt;0,"مطابق، دوز مازاد","مطابق"))))))</f>
        <v/>
      </c>
      <c r="AA172" s="13" t="str">
        <f aca="false">IF(B172="","",IFERROR(COUNTIF(J172:Q172,"بله")/(COUNTIF(J172:Q172,"بله")+COUNTIF(J172:Q172,"خیر")),""))</f>
        <v/>
      </c>
      <c r="AB172" s="14" t="str">
        <f aca="false">IF(B172="","",IF(Z172="مطابق",0,IF(Z172="مطابق، دوز مازاد",N(X172)*N(W172),(N(R172)-N(T172))*N(W172))))</f>
        <v/>
      </c>
      <c r="AC172" s="12"/>
      <c r="AD172" s="12"/>
      <c r="AE172" s="10" t="str">
        <f aca="false">IF(B172="","",IF(AND(N(AC172)&gt;0,NOT(OR(Z172="مطابق",Z172="مطابق، دوز مازاد"))),"ریسک کسورات",IF(AND(OR(Z172="مطابق",Z172="مطابق، دوز مازاد"),N(AC172)=0,D172&lt;&gt;"آزاد",D172&lt;&gt;""),"بررسی امکان دریافت از بیمه","")))</f>
        <v/>
      </c>
      <c r="AF172" s="11"/>
    </row>
    <row r="173" customFormat="false" ht="15" hidden="false" customHeight="false" outlineLevel="0" collapsed="false">
      <c r="A173" s="10" t="str">
        <f aca="false">IF(B173="","",ROW()-2)</f>
        <v/>
      </c>
      <c r="B173" s="11"/>
      <c r="C173" s="11"/>
      <c r="D173" s="11"/>
      <c r="E173" s="11"/>
      <c r="F173" s="11"/>
      <c r="G173" s="11"/>
      <c r="H173" s="10" t="str">
        <f aca="false">IF(G173="","",IFERROR(INDEX('اندیکاسیون‌ها'!$C$3:$C$22,MATCH(G173,'اندیکاسیون‌ها'!$A$3:$A$22,0)),"کد نامعتبر"))</f>
        <v/>
      </c>
      <c r="I173" s="10" t="str">
        <f aca="false">IF(G173="","",IFERROR(INDEX('اندیکاسیون‌ها'!$B$3:$B$22,MATCH(G173,'اندیکاسیون‌ها'!$A$3:$A$22,0)),""))</f>
        <v/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0" t="str">
        <f aca="false">IF(G173="","",IFERROR(INDEX('اندیکاسیون‌ها'!$F$3:$F$22,MATCH(G173,'اندیکاسیون‌ها'!$A$3:$A$22,0)),""))</f>
        <v/>
      </c>
      <c r="V173" s="11"/>
      <c r="W173" s="12"/>
      <c r="X173" s="10" t="str">
        <f aca="false">IF(OR(B173="",IF(V173&lt;&gt;"",V173,U173)=""),"",MAX(0,N(R173)-N(T173)-IF(V173&lt;&gt;"",V173,U173)))</f>
        <v/>
      </c>
      <c r="Y173" s="10" t="str">
        <f aca="false">IF(B173="","",N(R173)-N(S173)-N(T173))</f>
        <v/>
      </c>
      <c r="Z173" s="10" t="str">
        <f aca="false">IF(B173="","",IF(OR(G173="",G173="U0"),"اندیکاسیون نامشخص",IF(I173="بدون اندیکاسیون","بدون اندیکاسیون",IF(AND(I173="خارج از جدول",P173&lt;&gt;"بله"),"خارج از جدول بدون تأیید",IF(L173&lt;&gt;"بله","معیار مستند نشده",IF(N(X173)&gt;0,"مطابق، دوز مازاد","مطابق"))))))</f>
        <v/>
      </c>
      <c r="AA173" s="13" t="str">
        <f aca="false">IF(B173="","",IFERROR(COUNTIF(J173:Q173,"بله")/(COUNTIF(J173:Q173,"بله")+COUNTIF(J173:Q173,"خیر")),""))</f>
        <v/>
      </c>
      <c r="AB173" s="14" t="str">
        <f aca="false">IF(B173="","",IF(Z173="مطابق",0,IF(Z173="مطابق، دوز مازاد",N(X173)*N(W173),(N(R173)-N(T173))*N(W173))))</f>
        <v/>
      </c>
      <c r="AC173" s="12"/>
      <c r="AD173" s="12"/>
      <c r="AE173" s="10" t="str">
        <f aca="false">IF(B173="","",IF(AND(N(AC173)&gt;0,NOT(OR(Z173="مطابق",Z173="مطابق، دوز مازاد"))),"ریسک کسورات",IF(AND(OR(Z173="مطابق",Z173="مطابق، دوز مازاد"),N(AC173)=0,D173&lt;&gt;"آزاد",D173&lt;&gt;""),"بررسی امکان دریافت از بیمه","")))</f>
        <v/>
      </c>
      <c r="AF173" s="11"/>
    </row>
    <row r="174" customFormat="false" ht="15" hidden="false" customHeight="false" outlineLevel="0" collapsed="false">
      <c r="A174" s="10" t="str">
        <f aca="false">IF(B174="","",ROW()-2)</f>
        <v/>
      </c>
      <c r="B174" s="11"/>
      <c r="C174" s="11"/>
      <c r="D174" s="11"/>
      <c r="E174" s="11"/>
      <c r="F174" s="11"/>
      <c r="G174" s="11"/>
      <c r="H174" s="10" t="str">
        <f aca="false">IF(G174="","",IFERROR(INDEX('اندیکاسیون‌ها'!$C$3:$C$22,MATCH(G174,'اندیکاسیون‌ها'!$A$3:$A$22,0)),"کد نامعتبر"))</f>
        <v/>
      </c>
      <c r="I174" s="10" t="str">
        <f aca="false">IF(G174="","",IFERROR(INDEX('اندیکاسیون‌ها'!$B$3:$B$22,MATCH(G174,'اندیکاسیون‌ها'!$A$3:$A$22,0)),""))</f>
        <v/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0" t="str">
        <f aca="false">IF(G174="","",IFERROR(INDEX('اندیکاسیون‌ها'!$F$3:$F$22,MATCH(G174,'اندیکاسیون‌ها'!$A$3:$A$22,0)),""))</f>
        <v/>
      </c>
      <c r="V174" s="11"/>
      <c r="W174" s="12"/>
      <c r="X174" s="10" t="str">
        <f aca="false">IF(OR(B174="",IF(V174&lt;&gt;"",V174,U174)=""),"",MAX(0,N(R174)-N(T174)-IF(V174&lt;&gt;"",V174,U174)))</f>
        <v/>
      </c>
      <c r="Y174" s="10" t="str">
        <f aca="false">IF(B174="","",N(R174)-N(S174)-N(T174))</f>
        <v/>
      </c>
      <c r="Z174" s="10" t="str">
        <f aca="false">IF(B174="","",IF(OR(G174="",G174="U0"),"اندیکاسیون نامشخص",IF(I174="بدون اندیکاسیون","بدون اندیکاسیون",IF(AND(I174="خارج از جدول",P174&lt;&gt;"بله"),"خارج از جدول بدون تأیید",IF(L174&lt;&gt;"بله","معیار مستند نشده",IF(N(X174)&gt;0,"مطابق، دوز مازاد","مطابق"))))))</f>
        <v/>
      </c>
      <c r="AA174" s="13" t="str">
        <f aca="false">IF(B174="","",IFERROR(COUNTIF(J174:Q174,"بله")/(COUNTIF(J174:Q174,"بله")+COUNTIF(J174:Q174,"خیر")),""))</f>
        <v/>
      </c>
      <c r="AB174" s="14" t="str">
        <f aca="false">IF(B174="","",IF(Z174="مطابق",0,IF(Z174="مطابق، دوز مازاد",N(X174)*N(W174),(N(R174)-N(T174))*N(W174))))</f>
        <v/>
      </c>
      <c r="AC174" s="12"/>
      <c r="AD174" s="12"/>
      <c r="AE174" s="10" t="str">
        <f aca="false">IF(B174="","",IF(AND(N(AC174)&gt;0,NOT(OR(Z174="مطابق",Z174="مطابق، دوز مازاد"))),"ریسک کسورات",IF(AND(OR(Z174="مطابق",Z174="مطابق، دوز مازاد"),N(AC174)=0,D174&lt;&gt;"آزاد",D174&lt;&gt;""),"بررسی امکان دریافت از بیمه","")))</f>
        <v/>
      </c>
      <c r="AF174" s="11"/>
    </row>
    <row r="175" customFormat="false" ht="15" hidden="false" customHeight="false" outlineLevel="0" collapsed="false">
      <c r="A175" s="10" t="str">
        <f aca="false">IF(B175="","",ROW()-2)</f>
        <v/>
      </c>
      <c r="B175" s="11"/>
      <c r="C175" s="11"/>
      <c r="D175" s="11"/>
      <c r="E175" s="11"/>
      <c r="F175" s="11"/>
      <c r="G175" s="11"/>
      <c r="H175" s="10" t="str">
        <f aca="false">IF(G175="","",IFERROR(INDEX('اندیکاسیون‌ها'!$C$3:$C$22,MATCH(G175,'اندیکاسیون‌ها'!$A$3:$A$22,0)),"کد نامعتبر"))</f>
        <v/>
      </c>
      <c r="I175" s="10" t="str">
        <f aca="false">IF(G175="","",IFERROR(INDEX('اندیکاسیون‌ها'!$B$3:$B$22,MATCH(G175,'اندیکاسیون‌ها'!$A$3:$A$22,0)),""))</f>
        <v/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0" t="str">
        <f aca="false">IF(G175="","",IFERROR(INDEX('اندیکاسیون‌ها'!$F$3:$F$22,MATCH(G175,'اندیکاسیون‌ها'!$A$3:$A$22,0)),""))</f>
        <v/>
      </c>
      <c r="V175" s="11"/>
      <c r="W175" s="12"/>
      <c r="X175" s="10" t="str">
        <f aca="false">IF(OR(B175="",IF(V175&lt;&gt;"",V175,U175)=""),"",MAX(0,N(R175)-N(T175)-IF(V175&lt;&gt;"",V175,U175)))</f>
        <v/>
      </c>
      <c r="Y175" s="10" t="str">
        <f aca="false">IF(B175="","",N(R175)-N(S175)-N(T175))</f>
        <v/>
      </c>
      <c r="Z175" s="10" t="str">
        <f aca="false">IF(B175="","",IF(OR(G175="",G175="U0"),"اندیکاسیون نامشخص",IF(I175="بدون اندیکاسیون","بدون اندیکاسیون",IF(AND(I175="خارج از جدول",P175&lt;&gt;"بله"),"خارج از جدول بدون تأیید",IF(L175&lt;&gt;"بله","معیار مستند نشده",IF(N(X175)&gt;0,"مطابق، دوز مازاد","مطابق"))))))</f>
        <v/>
      </c>
      <c r="AA175" s="13" t="str">
        <f aca="false">IF(B175="","",IFERROR(COUNTIF(J175:Q175,"بله")/(COUNTIF(J175:Q175,"بله")+COUNTIF(J175:Q175,"خیر")),""))</f>
        <v/>
      </c>
      <c r="AB175" s="14" t="str">
        <f aca="false">IF(B175="","",IF(Z175="مطابق",0,IF(Z175="مطابق، دوز مازاد",N(X175)*N(W175),(N(R175)-N(T175))*N(W175))))</f>
        <v/>
      </c>
      <c r="AC175" s="12"/>
      <c r="AD175" s="12"/>
      <c r="AE175" s="10" t="str">
        <f aca="false">IF(B175="","",IF(AND(N(AC175)&gt;0,NOT(OR(Z175="مطابق",Z175="مطابق، دوز مازاد"))),"ریسک کسورات",IF(AND(OR(Z175="مطابق",Z175="مطابق، دوز مازاد"),N(AC175)=0,D175&lt;&gt;"آزاد",D175&lt;&gt;""),"بررسی امکان دریافت از بیمه","")))</f>
        <v/>
      </c>
      <c r="AF175" s="11"/>
    </row>
    <row r="176" customFormat="false" ht="15" hidden="false" customHeight="false" outlineLevel="0" collapsed="false">
      <c r="A176" s="10" t="str">
        <f aca="false">IF(B176="","",ROW()-2)</f>
        <v/>
      </c>
      <c r="B176" s="11"/>
      <c r="C176" s="11"/>
      <c r="D176" s="11"/>
      <c r="E176" s="11"/>
      <c r="F176" s="11"/>
      <c r="G176" s="11"/>
      <c r="H176" s="10" t="str">
        <f aca="false">IF(G176="","",IFERROR(INDEX('اندیکاسیون‌ها'!$C$3:$C$22,MATCH(G176,'اندیکاسیون‌ها'!$A$3:$A$22,0)),"کد نامعتبر"))</f>
        <v/>
      </c>
      <c r="I176" s="10" t="str">
        <f aca="false">IF(G176="","",IFERROR(INDEX('اندیکاسیون‌ها'!$B$3:$B$22,MATCH(G176,'اندیکاسیون‌ها'!$A$3:$A$22,0)),""))</f>
        <v/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0" t="str">
        <f aca="false">IF(G176="","",IFERROR(INDEX('اندیکاسیون‌ها'!$F$3:$F$22,MATCH(G176,'اندیکاسیون‌ها'!$A$3:$A$22,0)),""))</f>
        <v/>
      </c>
      <c r="V176" s="11"/>
      <c r="W176" s="12"/>
      <c r="X176" s="10" t="str">
        <f aca="false">IF(OR(B176="",IF(V176&lt;&gt;"",V176,U176)=""),"",MAX(0,N(R176)-N(T176)-IF(V176&lt;&gt;"",V176,U176)))</f>
        <v/>
      </c>
      <c r="Y176" s="10" t="str">
        <f aca="false">IF(B176="","",N(R176)-N(S176)-N(T176))</f>
        <v/>
      </c>
      <c r="Z176" s="10" t="str">
        <f aca="false">IF(B176="","",IF(OR(G176="",G176="U0"),"اندیکاسیون نامشخص",IF(I176="بدون اندیکاسیون","بدون اندیکاسیون",IF(AND(I176="خارج از جدول",P176&lt;&gt;"بله"),"خارج از جدول بدون تأیید",IF(L176&lt;&gt;"بله","معیار مستند نشده",IF(N(X176)&gt;0,"مطابق، دوز مازاد","مطابق"))))))</f>
        <v/>
      </c>
      <c r="AA176" s="13" t="str">
        <f aca="false">IF(B176="","",IFERROR(COUNTIF(J176:Q176,"بله")/(COUNTIF(J176:Q176,"بله")+COUNTIF(J176:Q176,"خیر")),""))</f>
        <v/>
      </c>
      <c r="AB176" s="14" t="str">
        <f aca="false">IF(B176="","",IF(Z176="مطابق",0,IF(Z176="مطابق، دوز مازاد",N(X176)*N(W176),(N(R176)-N(T176))*N(W176))))</f>
        <v/>
      </c>
      <c r="AC176" s="12"/>
      <c r="AD176" s="12"/>
      <c r="AE176" s="10" t="str">
        <f aca="false">IF(B176="","",IF(AND(N(AC176)&gt;0,NOT(OR(Z176="مطابق",Z176="مطابق، دوز مازاد"))),"ریسک کسورات",IF(AND(OR(Z176="مطابق",Z176="مطابق، دوز مازاد"),N(AC176)=0,D176&lt;&gt;"آزاد",D176&lt;&gt;""),"بررسی امکان دریافت از بیمه","")))</f>
        <v/>
      </c>
      <c r="AF176" s="11"/>
    </row>
    <row r="177" customFormat="false" ht="15" hidden="false" customHeight="false" outlineLevel="0" collapsed="false">
      <c r="A177" s="10" t="str">
        <f aca="false">IF(B177="","",ROW()-2)</f>
        <v/>
      </c>
      <c r="B177" s="11"/>
      <c r="C177" s="11"/>
      <c r="D177" s="11"/>
      <c r="E177" s="11"/>
      <c r="F177" s="11"/>
      <c r="G177" s="11"/>
      <c r="H177" s="10" t="str">
        <f aca="false">IF(G177="","",IFERROR(INDEX('اندیکاسیون‌ها'!$C$3:$C$22,MATCH(G177,'اندیکاسیون‌ها'!$A$3:$A$22,0)),"کد نامعتبر"))</f>
        <v/>
      </c>
      <c r="I177" s="10" t="str">
        <f aca="false">IF(G177="","",IFERROR(INDEX('اندیکاسیون‌ها'!$B$3:$B$22,MATCH(G177,'اندیکاسیون‌ها'!$A$3:$A$22,0)),""))</f>
        <v/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0" t="str">
        <f aca="false">IF(G177="","",IFERROR(INDEX('اندیکاسیون‌ها'!$F$3:$F$22,MATCH(G177,'اندیکاسیون‌ها'!$A$3:$A$22,0)),""))</f>
        <v/>
      </c>
      <c r="V177" s="11"/>
      <c r="W177" s="12"/>
      <c r="X177" s="10" t="str">
        <f aca="false">IF(OR(B177="",IF(V177&lt;&gt;"",V177,U177)=""),"",MAX(0,N(R177)-N(T177)-IF(V177&lt;&gt;"",V177,U177)))</f>
        <v/>
      </c>
      <c r="Y177" s="10" t="str">
        <f aca="false">IF(B177="","",N(R177)-N(S177)-N(T177))</f>
        <v/>
      </c>
      <c r="Z177" s="10" t="str">
        <f aca="false">IF(B177="","",IF(OR(G177="",G177="U0"),"اندیکاسیون نامشخص",IF(I177="بدون اندیکاسیون","بدون اندیکاسیون",IF(AND(I177="خارج از جدول",P177&lt;&gt;"بله"),"خارج از جدول بدون تأیید",IF(L177&lt;&gt;"بله","معیار مستند نشده",IF(N(X177)&gt;0,"مطابق، دوز مازاد","مطابق"))))))</f>
        <v/>
      </c>
      <c r="AA177" s="13" t="str">
        <f aca="false">IF(B177="","",IFERROR(COUNTIF(J177:Q177,"بله")/(COUNTIF(J177:Q177,"بله")+COUNTIF(J177:Q177,"خیر")),""))</f>
        <v/>
      </c>
      <c r="AB177" s="14" t="str">
        <f aca="false">IF(B177="","",IF(Z177="مطابق",0,IF(Z177="مطابق، دوز مازاد",N(X177)*N(W177),(N(R177)-N(T177))*N(W177))))</f>
        <v/>
      </c>
      <c r="AC177" s="12"/>
      <c r="AD177" s="12"/>
      <c r="AE177" s="10" t="str">
        <f aca="false">IF(B177="","",IF(AND(N(AC177)&gt;0,NOT(OR(Z177="مطابق",Z177="مطابق، دوز مازاد"))),"ریسک کسورات",IF(AND(OR(Z177="مطابق",Z177="مطابق، دوز مازاد"),N(AC177)=0,D177&lt;&gt;"آزاد",D177&lt;&gt;""),"بررسی امکان دریافت از بیمه","")))</f>
        <v/>
      </c>
      <c r="AF177" s="11"/>
    </row>
    <row r="178" customFormat="false" ht="15" hidden="false" customHeight="false" outlineLevel="0" collapsed="false">
      <c r="A178" s="10" t="str">
        <f aca="false">IF(B178="","",ROW()-2)</f>
        <v/>
      </c>
      <c r="B178" s="11"/>
      <c r="C178" s="11"/>
      <c r="D178" s="11"/>
      <c r="E178" s="11"/>
      <c r="F178" s="11"/>
      <c r="G178" s="11"/>
      <c r="H178" s="10" t="str">
        <f aca="false">IF(G178="","",IFERROR(INDEX('اندیکاسیون‌ها'!$C$3:$C$22,MATCH(G178,'اندیکاسیون‌ها'!$A$3:$A$22,0)),"کد نامعتبر"))</f>
        <v/>
      </c>
      <c r="I178" s="10" t="str">
        <f aca="false">IF(G178="","",IFERROR(INDEX('اندیکاسیون‌ها'!$B$3:$B$22,MATCH(G178,'اندیکاسیون‌ها'!$A$3:$A$22,0)),""))</f>
        <v/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0" t="str">
        <f aca="false">IF(G178="","",IFERROR(INDEX('اندیکاسیون‌ها'!$F$3:$F$22,MATCH(G178,'اندیکاسیون‌ها'!$A$3:$A$22,0)),""))</f>
        <v/>
      </c>
      <c r="V178" s="11"/>
      <c r="W178" s="12"/>
      <c r="X178" s="10" t="str">
        <f aca="false">IF(OR(B178="",IF(V178&lt;&gt;"",V178,U178)=""),"",MAX(0,N(R178)-N(T178)-IF(V178&lt;&gt;"",V178,U178)))</f>
        <v/>
      </c>
      <c r="Y178" s="10" t="str">
        <f aca="false">IF(B178="","",N(R178)-N(S178)-N(T178))</f>
        <v/>
      </c>
      <c r="Z178" s="10" t="str">
        <f aca="false">IF(B178="","",IF(OR(G178="",G178="U0"),"اندیکاسیون نامشخص",IF(I178="بدون اندیکاسیون","بدون اندیکاسیون",IF(AND(I178="خارج از جدول",P178&lt;&gt;"بله"),"خارج از جدول بدون تأیید",IF(L178&lt;&gt;"بله","معیار مستند نشده",IF(N(X178)&gt;0,"مطابق، دوز مازاد","مطابق"))))))</f>
        <v/>
      </c>
      <c r="AA178" s="13" t="str">
        <f aca="false">IF(B178="","",IFERROR(COUNTIF(J178:Q178,"بله")/(COUNTIF(J178:Q178,"بله")+COUNTIF(J178:Q178,"خیر")),""))</f>
        <v/>
      </c>
      <c r="AB178" s="14" t="str">
        <f aca="false">IF(B178="","",IF(Z178="مطابق",0,IF(Z178="مطابق، دوز مازاد",N(X178)*N(W178),(N(R178)-N(T178))*N(W178))))</f>
        <v/>
      </c>
      <c r="AC178" s="12"/>
      <c r="AD178" s="12"/>
      <c r="AE178" s="10" t="str">
        <f aca="false">IF(B178="","",IF(AND(N(AC178)&gt;0,NOT(OR(Z178="مطابق",Z178="مطابق، دوز مازاد"))),"ریسک کسورات",IF(AND(OR(Z178="مطابق",Z178="مطابق، دوز مازاد"),N(AC178)=0,D178&lt;&gt;"آزاد",D178&lt;&gt;""),"بررسی امکان دریافت از بیمه","")))</f>
        <v/>
      </c>
      <c r="AF178" s="11"/>
    </row>
    <row r="179" customFormat="false" ht="15" hidden="false" customHeight="false" outlineLevel="0" collapsed="false">
      <c r="A179" s="10" t="str">
        <f aca="false">IF(B179="","",ROW()-2)</f>
        <v/>
      </c>
      <c r="B179" s="11"/>
      <c r="C179" s="11"/>
      <c r="D179" s="11"/>
      <c r="E179" s="11"/>
      <c r="F179" s="11"/>
      <c r="G179" s="11"/>
      <c r="H179" s="10" t="str">
        <f aca="false">IF(G179="","",IFERROR(INDEX('اندیکاسیون‌ها'!$C$3:$C$22,MATCH(G179,'اندیکاسیون‌ها'!$A$3:$A$22,0)),"کد نامعتبر"))</f>
        <v/>
      </c>
      <c r="I179" s="10" t="str">
        <f aca="false">IF(G179="","",IFERROR(INDEX('اندیکاسیون‌ها'!$B$3:$B$22,MATCH(G179,'اندیکاسیون‌ها'!$A$3:$A$22,0)),""))</f>
        <v/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0" t="str">
        <f aca="false">IF(G179="","",IFERROR(INDEX('اندیکاسیون‌ها'!$F$3:$F$22,MATCH(G179,'اندیکاسیون‌ها'!$A$3:$A$22,0)),""))</f>
        <v/>
      </c>
      <c r="V179" s="11"/>
      <c r="W179" s="12"/>
      <c r="X179" s="10" t="str">
        <f aca="false">IF(OR(B179="",IF(V179&lt;&gt;"",V179,U179)=""),"",MAX(0,N(R179)-N(T179)-IF(V179&lt;&gt;"",V179,U179)))</f>
        <v/>
      </c>
      <c r="Y179" s="10" t="str">
        <f aca="false">IF(B179="","",N(R179)-N(S179)-N(T179))</f>
        <v/>
      </c>
      <c r="Z179" s="10" t="str">
        <f aca="false">IF(B179="","",IF(OR(G179="",G179="U0"),"اندیکاسیون نامشخص",IF(I179="بدون اندیکاسیون","بدون اندیکاسیون",IF(AND(I179="خارج از جدول",P179&lt;&gt;"بله"),"خارج از جدول بدون تأیید",IF(L179&lt;&gt;"بله","معیار مستند نشده",IF(N(X179)&gt;0,"مطابق، دوز مازاد","مطابق"))))))</f>
        <v/>
      </c>
      <c r="AA179" s="13" t="str">
        <f aca="false">IF(B179="","",IFERROR(COUNTIF(J179:Q179,"بله")/(COUNTIF(J179:Q179,"بله")+COUNTIF(J179:Q179,"خیر")),""))</f>
        <v/>
      </c>
      <c r="AB179" s="14" t="str">
        <f aca="false">IF(B179="","",IF(Z179="مطابق",0,IF(Z179="مطابق، دوز مازاد",N(X179)*N(W179),(N(R179)-N(T179))*N(W179))))</f>
        <v/>
      </c>
      <c r="AC179" s="12"/>
      <c r="AD179" s="12"/>
      <c r="AE179" s="10" t="str">
        <f aca="false">IF(B179="","",IF(AND(N(AC179)&gt;0,NOT(OR(Z179="مطابق",Z179="مطابق، دوز مازاد"))),"ریسک کسورات",IF(AND(OR(Z179="مطابق",Z179="مطابق، دوز مازاد"),N(AC179)=0,D179&lt;&gt;"آزاد",D179&lt;&gt;""),"بررسی امکان دریافت از بیمه","")))</f>
        <v/>
      </c>
      <c r="AF179" s="11"/>
    </row>
    <row r="180" customFormat="false" ht="15" hidden="false" customHeight="false" outlineLevel="0" collapsed="false">
      <c r="A180" s="10" t="str">
        <f aca="false">IF(B180="","",ROW()-2)</f>
        <v/>
      </c>
      <c r="B180" s="11"/>
      <c r="C180" s="11"/>
      <c r="D180" s="11"/>
      <c r="E180" s="11"/>
      <c r="F180" s="11"/>
      <c r="G180" s="11"/>
      <c r="H180" s="10" t="str">
        <f aca="false">IF(G180="","",IFERROR(INDEX('اندیکاسیون‌ها'!$C$3:$C$22,MATCH(G180,'اندیکاسیون‌ها'!$A$3:$A$22,0)),"کد نامعتبر"))</f>
        <v/>
      </c>
      <c r="I180" s="10" t="str">
        <f aca="false">IF(G180="","",IFERROR(INDEX('اندیکاسیون‌ها'!$B$3:$B$22,MATCH(G180,'اندیکاسیون‌ها'!$A$3:$A$22,0)),""))</f>
        <v/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0" t="str">
        <f aca="false">IF(G180="","",IFERROR(INDEX('اندیکاسیون‌ها'!$F$3:$F$22,MATCH(G180,'اندیکاسیون‌ها'!$A$3:$A$22,0)),""))</f>
        <v/>
      </c>
      <c r="V180" s="11"/>
      <c r="W180" s="12"/>
      <c r="X180" s="10" t="str">
        <f aca="false">IF(OR(B180="",IF(V180&lt;&gt;"",V180,U180)=""),"",MAX(0,N(R180)-N(T180)-IF(V180&lt;&gt;"",V180,U180)))</f>
        <v/>
      </c>
      <c r="Y180" s="10" t="str">
        <f aca="false">IF(B180="","",N(R180)-N(S180)-N(T180))</f>
        <v/>
      </c>
      <c r="Z180" s="10" t="str">
        <f aca="false">IF(B180="","",IF(OR(G180="",G180="U0"),"اندیکاسیون نامشخص",IF(I180="بدون اندیکاسیون","بدون اندیکاسیون",IF(AND(I180="خارج از جدول",P180&lt;&gt;"بله"),"خارج از جدول بدون تأیید",IF(L180&lt;&gt;"بله","معیار مستند نشده",IF(N(X180)&gt;0,"مطابق، دوز مازاد","مطابق"))))))</f>
        <v/>
      </c>
      <c r="AA180" s="13" t="str">
        <f aca="false">IF(B180="","",IFERROR(COUNTIF(J180:Q180,"بله")/(COUNTIF(J180:Q180,"بله")+COUNTIF(J180:Q180,"خیر")),""))</f>
        <v/>
      </c>
      <c r="AB180" s="14" t="str">
        <f aca="false">IF(B180="","",IF(Z180="مطابق",0,IF(Z180="مطابق، دوز مازاد",N(X180)*N(W180),(N(R180)-N(T180))*N(W180))))</f>
        <v/>
      </c>
      <c r="AC180" s="12"/>
      <c r="AD180" s="12"/>
      <c r="AE180" s="10" t="str">
        <f aca="false">IF(B180="","",IF(AND(N(AC180)&gt;0,NOT(OR(Z180="مطابق",Z180="مطابق، دوز مازاد"))),"ریسک کسورات",IF(AND(OR(Z180="مطابق",Z180="مطابق، دوز مازاد"),N(AC180)=0,D180&lt;&gt;"آزاد",D180&lt;&gt;""),"بررسی امکان دریافت از بیمه","")))</f>
        <v/>
      </c>
      <c r="AF180" s="11"/>
    </row>
    <row r="181" customFormat="false" ht="15" hidden="false" customHeight="false" outlineLevel="0" collapsed="false">
      <c r="A181" s="10" t="str">
        <f aca="false">IF(B181="","",ROW()-2)</f>
        <v/>
      </c>
      <c r="B181" s="11"/>
      <c r="C181" s="11"/>
      <c r="D181" s="11"/>
      <c r="E181" s="11"/>
      <c r="F181" s="11"/>
      <c r="G181" s="11"/>
      <c r="H181" s="10" t="str">
        <f aca="false">IF(G181="","",IFERROR(INDEX('اندیکاسیون‌ها'!$C$3:$C$22,MATCH(G181,'اندیکاسیون‌ها'!$A$3:$A$22,0)),"کد نامعتبر"))</f>
        <v/>
      </c>
      <c r="I181" s="10" t="str">
        <f aca="false">IF(G181="","",IFERROR(INDEX('اندیکاسیون‌ها'!$B$3:$B$22,MATCH(G181,'اندیکاسیون‌ها'!$A$3:$A$22,0)),""))</f>
        <v/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0" t="str">
        <f aca="false">IF(G181="","",IFERROR(INDEX('اندیکاسیون‌ها'!$F$3:$F$22,MATCH(G181,'اندیکاسیون‌ها'!$A$3:$A$22,0)),""))</f>
        <v/>
      </c>
      <c r="V181" s="11"/>
      <c r="W181" s="12"/>
      <c r="X181" s="10" t="str">
        <f aca="false">IF(OR(B181="",IF(V181&lt;&gt;"",V181,U181)=""),"",MAX(0,N(R181)-N(T181)-IF(V181&lt;&gt;"",V181,U181)))</f>
        <v/>
      </c>
      <c r="Y181" s="10" t="str">
        <f aca="false">IF(B181="","",N(R181)-N(S181)-N(T181))</f>
        <v/>
      </c>
      <c r="Z181" s="10" t="str">
        <f aca="false">IF(B181="","",IF(OR(G181="",G181="U0"),"اندیکاسیون نامشخص",IF(I181="بدون اندیکاسیون","بدون اندیکاسیون",IF(AND(I181="خارج از جدول",P181&lt;&gt;"بله"),"خارج از جدول بدون تأیید",IF(L181&lt;&gt;"بله","معیار مستند نشده",IF(N(X181)&gt;0,"مطابق، دوز مازاد","مطابق"))))))</f>
        <v/>
      </c>
      <c r="AA181" s="13" t="str">
        <f aca="false">IF(B181="","",IFERROR(COUNTIF(J181:Q181,"بله")/(COUNTIF(J181:Q181,"بله")+COUNTIF(J181:Q181,"خیر")),""))</f>
        <v/>
      </c>
      <c r="AB181" s="14" t="str">
        <f aca="false">IF(B181="","",IF(Z181="مطابق",0,IF(Z181="مطابق، دوز مازاد",N(X181)*N(W181),(N(R181)-N(T181))*N(W181))))</f>
        <v/>
      </c>
      <c r="AC181" s="12"/>
      <c r="AD181" s="12"/>
      <c r="AE181" s="10" t="str">
        <f aca="false">IF(B181="","",IF(AND(N(AC181)&gt;0,NOT(OR(Z181="مطابق",Z181="مطابق، دوز مازاد"))),"ریسک کسورات",IF(AND(OR(Z181="مطابق",Z181="مطابق، دوز مازاد"),N(AC181)=0,D181&lt;&gt;"آزاد",D181&lt;&gt;""),"بررسی امکان دریافت از بیمه","")))</f>
        <v/>
      </c>
      <c r="AF181" s="11"/>
    </row>
    <row r="182" customFormat="false" ht="15" hidden="false" customHeight="false" outlineLevel="0" collapsed="false">
      <c r="A182" s="10" t="str">
        <f aca="false">IF(B182="","",ROW()-2)</f>
        <v/>
      </c>
      <c r="B182" s="11"/>
      <c r="C182" s="11"/>
      <c r="D182" s="11"/>
      <c r="E182" s="11"/>
      <c r="F182" s="11"/>
      <c r="G182" s="11"/>
      <c r="H182" s="10" t="str">
        <f aca="false">IF(G182="","",IFERROR(INDEX('اندیکاسیون‌ها'!$C$3:$C$22,MATCH(G182,'اندیکاسیون‌ها'!$A$3:$A$22,0)),"کد نامعتبر"))</f>
        <v/>
      </c>
      <c r="I182" s="10" t="str">
        <f aca="false">IF(G182="","",IFERROR(INDEX('اندیکاسیون‌ها'!$B$3:$B$22,MATCH(G182,'اندیکاسیون‌ها'!$A$3:$A$22,0)),""))</f>
        <v/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0" t="str">
        <f aca="false">IF(G182="","",IFERROR(INDEX('اندیکاسیون‌ها'!$F$3:$F$22,MATCH(G182,'اندیکاسیون‌ها'!$A$3:$A$22,0)),""))</f>
        <v/>
      </c>
      <c r="V182" s="11"/>
      <c r="W182" s="12"/>
      <c r="X182" s="10" t="str">
        <f aca="false">IF(OR(B182="",IF(V182&lt;&gt;"",V182,U182)=""),"",MAX(0,N(R182)-N(T182)-IF(V182&lt;&gt;"",V182,U182)))</f>
        <v/>
      </c>
      <c r="Y182" s="10" t="str">
        <f aca="false">IF(B182="","",N(R182)-N(S182)-N(T182))</f>
        <v/>
      </c>
      <c r="Z182" s="10" t="str">
        <f aca="false">IF(B182="","",IF(OR(G182="",G182="U0"),"اندیکاسیون نامشخص",IF(I182="بدون اندیکاسیون","بدون اندیکاسیون",IF(AND(I182="خارج از جدول",P182&lt;&gt;"بله"),"خارج از جدول بدون تأیید",IF(L182&lt;&gt;"بله","معیار مستند نشده",IF(N(X182)&gt;0,"مطابق، دوز مازاد","مطابق"))))))</f>
        <v/>
      </c>
      <c r="AA182" s="13" t="str">
        <f aca="false">IF(B182="","",IFERROR(COUNTIF(J182:Q182,"بله")/(COUNTIF(J182:Q182,"بله")+COUNTIF(J182:Q182,"خیر")),""))</f>
        <v/>
      </c>
      <c r="AB182" s="14" t="str">
        <f aca="false">IF(B182="","",IF(Z182="مطابق",0,IF(Z182="مطابق، دوز مازاد",N(X182)*N(W182),(N(R182)-N(T182))*N(W182))))</f>
        <v/>
      </c>
      <c r="AC182" s="12"/>
      <c r="AD182" s="12"/>
      <c r="AE182" s="10" t="str">
        <f aca="false">IF(B182="","",IF(AND(N(AC182)&gt;0,NOT(OR(Z182="مطابق",Z182="مطابق، دوز مازاد"))),"ریسک کسورات",IF(AND(OR(Z182="مطابق",Z182="مطابق، دوز مازاد"),N(AC182)=0,D182&lt;&gt;"آزاد",D182&lt;&gt;""),"بررسی امکان دریافت از بیمه","")))</f>
        <v/>
      </c>
      <c r="AF182" s="11"/>
    </row>
    <row r="183" customFormat="false" ht="15" hidden="false" customHeight="false" outlineLevel="0" collapsed="false">
      <c r="A183" s="10" t="str">
        <f aca="false">IF(B183="","",ROW()-2)</f>
        <v/>
      </c>
      <c r="B183" s="11"/>
      <c r="C183" s="11"/>
      <c r="D183" s="11"/>
      <c r="E183" s="11"/>
      <c r="F183" s="11"/>
      <c r="G183" s="11"/>
      <c r="H183" s="10" t="str">
        <f aca="false">IF(G183="","",IFERROR(INDEX('اندیکاسیون‌ها'!$C$3:$C$22,MATCH(G183,'اندیکاسیون‌ها'!$A$3:$A$22,0)),"کد نامعتبر"))</f>
        <v/>
      </c>
      <c r="I183" s="10" t="str">
        <f aca="false">IF(G183="","",IFERROR(INDEX('اندیکاسیون‌ها'!$B$3:$B$22,MATCH(G183,'اندیکاسیون‌ها'!$A$3:$A$22,0)),""))</f>
        <v/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0" t="str">
        <f aca="false">IF(G183="","",IFERROR(INDEX('اندیکاسیون‌ها'!$F$3:$F$22,MATCH(G183,'اندیکاسیون‌ها'!$A$3:$A$22,0)),""))</f>
        <v/>
      </c>
      <c r="V183" s="11"/>
      <c r="W183" s="12"/>
      <c r="X183" s="10" t="str">
        <f aca="false">IF(OR(B183="",IF(V183&lt;&gt;"",V183,U183)=""),"",MAX(0,N(R183)-N(T183)-IF(V183&lt;&gt;"",V183,U183)))</f>
        <v/>
      </c>
      <c r="Y183" s="10" t="str">
        <f aca="false">IF(B183="","",N(R183)-N(S183)-N(T183))</f>
        <v/>
      </c>
      <c r="Z183" s="10" t="str">
        <f aca="false">IF(B183="","",IF(OR(G183="",G183="U0"),"اندیکاسیون نامشخص",IF(I183="بدون اندیکاسیون","بدون اندیکاسیون",IF(AND(I183="خارج از جدول",P183&lt;&gt;"بله"),"خارج از جدول بدون تأیید",IF(L183&lt;&gt;"بله","معیار مستند نشده",IF(N(X183)&gt;0,"مطابق، دوز مازاد","مطابق"))))))</f>
        <v/>
      </c>
      <c r="AA183" s="13" t="str">
        <f aca="false">IF(B183="","",IFERROR(COUNTIF(J183:Q183,"بله")/(COUNTIF(J183:Q183,"بله")+COUNTIF(J183:Q183,"خیر")),""))</f>
        <v/>
      </c>
      <c r="AB183" s="14" t="str">
        <f aca="false">IF(B183="","",IF(Z183="مطابق",0,IF(Z183="مطابق، دوز مازاد",N(X183)*N(W183),(N(R183)-N(T183))*N(W183))))</f>
        <v/>
      </c>
      <c r="AC183" s="12"/>
      <c r="AD183" s="12"/>
      <c r="AE183" s="10" t="str">
        <f aca="false">IF(B183="","",IF(AND(N(AC183)&gt;0,NOT(OR(Z183="مطابق",Z183="مطابق، دوز مازاد"))),"ریسک کسورات",IF(AND(OR(Z183="مطابق",Z183="مطابق، دوز مازاد"),N(AC183)=0,D183&lt;&gt;"آزاد",D183&lt;&gt;""),"بررسی امکان دریافت از بیمه","")))</f>
        <v/>
      </c>
      <c r="AF183" s="11"/>
    </row>
    <row r="184" customFormat="false" ht="15" hidden="false" customHeight="false" outlineLevel="0" collapsed="false">
      <c r="A184" s="10" t="str">
        <f aca="false">IF(B184="","",ROW()-2)</f>
        <v/>
      </c>
      <c r="B184" s="11"/>
      <c r="C184" s="11"/>
      <c r="D184" s="11"/>
      <c r="E184" s="11"/>
      <c r="F184" s="11"/>
      <c r="G184" s="11"/>
      <c r="H184" s="10" t="str">
        <f aca="false">IF(G184="","",IFERROR(INDEX('اندیکاسیون‌ها'!$C$3:$C$22,MATCH(G184,'اندیکاسیون‌ها'!$A$3:$A$22,0)),"کد نامعتبر"))</f>
        <v/>
      </c>
      <c r="I184" s="10" t="str">
        <f aca="false">IF(G184="","",IFERROR(INDEX('اندیکاسیون‌ها'!$B$3:$B$22,MATCH(G184,'اندیکاسیون‌ها'!$A$3:$A$22,0)),""))</f>
        <v/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0" t="str">
        <f aca="false">IF(G184="","",IFERROR(INDEX('اندیکاسیون‌ها'!$F$3:$F$22,MATCH(G184,'اندیکاسیون‌ها'!$A$3:$A$22,0)),""))</f>
        <v/>
      </c>
      <c r="V184" s="11"/>
      <c r="W184" s="12"/>
      <c r="X184" s="10" t="str">
        <f aca="false">IF(OR(B184="",IF(V184&lt;&gt;"",V184,U184)=""),"",MAX(0,N(R184)-N(T184)-IF(V184&lt;&gt;"",V184,U184)))</f>
        <v/>
      </c>
      <c r="Y184" s="10" t="str">
        <f aca="false">IF(B184="","",N(R184)-N(S184)-N(T184))</f>
        <v/>
      </c>
      <c r="Z184" s="10" t="str">
        <f aca="false">IF(B184="","",IF(OR(G184="",G184="U0"),"اندیکاسیون نامشخص",IF(I184="بدون اندیکاسیون","بدون اندیکاسیون",IF(AND(I184="خارج از جدول",P184&lt;&gt;"بله"),"خارج از جدول بدون تأیید",IF(L184&lt;&gt;"بله","معیار مستند نشده",IF(N(X184)&gt;0,"مطابق، دوز مازاد","مطابق"))))))</f>
        <v/>
      </c>
      <c r="AA184" s="13" t="str">
        <f aca="false">IF(B184="","",IFERROR(COUNTIF(J184:Q184,"بله")/(COUNTIF(J184:Q184,"بله")+COUNTIF(J184:Q184,"خیر")),""))</f>
        <v/>
      </c>
      <c r="AB184" s="14" t="str">
        <f aca="false">IF(B184="","",IF(Z184="مطابق",0,IF(Z184="مطابق، دوز مازاد",N(X184)*N(W184),(N(R184)-N(T184))*N(W184))))</f>
        <v/>
      </c>
      <c r="AC184" s="12"/>
      <c r="AD184" s="12"/>
      <c r="AE184" s="10" t="str">
        <f aca="false">IF(B184="","",IF(AND(N(AC184)&gt;0,NOT(OR(Z184="مطابق",Z184="مطابق، دوز مازاد"))),"ریسک کسورات",IF(AND(OR(Z184="مطابق",Z184="مطابق، دوز مازاد"),N(AC184)=0,D184&lt;&gt;"آزاد",D184&lt;&gt;""),"بررسی امکان دریافت از بیمه","")))</f>
        <v/>
      </c>
      <c r="AF184" s="11"/>
    </row>
    <row r="185" customFormat="false" ht="15" hidden="false" customHeight="false" outlineLevel="0" collapsed="false">
      <c r="A185" s="10" t="str">
        <f aca="false">IF(B185="","",ROW()-2)</f>
        <v/>
      </c>
      <c r="B185" s="11"/>
      <c r="C185" s="11"/>
      <c r="D185" s="11"/>
      <c r="E185" s="11"/>
      <c r="F185" s="11"/>
      <c r="G185" s="11"/>
      <c r="H185" s="10" t="str">
        <f aca="false">IF(G185="","",IFERROR(INDEX('اندیکاسیون‌ها'!$C$3:$C$22,MATCH(G185,'اندیکاسیون‌ها'!$A$3:$A$22,0)),"کد نامعتبر"))</f>
        <v/>
      </c>
      <c r="I185" s="10" t="str">
        <f aca="false">IF(G185="","",IFERROR(INDEX('اندیکاسیون‌ها'!$B$3:$B$22,MATCH(G185,'اندیکاسیون‌ها'!$A$3:$A$22,0)),""))</f>
        <v/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0" t="str">
        <f aca="false">IF(G185="","",IFERROR(INDEX('اندیکاسیون‌ها'!$F$3:$F$22,MATCH(G185,'اندیکاسیون‌ها'!$A$3:$A$22,0)),""))</f>
        <v/>
      </c>
      <c r="V185" s="11"/>
      <c r="W185" s="12"/>
      <c r="X185" s="10" t="str">
        <f aca="false">IF(OR(B185="",IF(V185&lt;&gt;"",V185,U185)=""),"",MAX(0,N(R185)-N(T185)-IF(V185&lt;&gt;"",V185,U185)))</f>
        <v/>
      </c>
      <c r="Y185" s="10" t="str">
        <f aca="false">IF(B185="","",N(R185)-N(S185)-N(T185))</f>
        <v/>
      </c>
      <c r="Z185" s="10" t="str">
        <f aca="false">IF(B185="","",IF(OR(G185="",G185="U0"),"اندیکاسیون نامشخص",IF(I185="بدون اندیکاسیون","بدون اندیکاسیون",IF(AND(I185="خارج از جدول",P185&lt;&gt;"بله"),"خارج از جدول بدون تأیید",IF(L185&lt;&gt;"بله","معیار مستند نشده",IF(N(X185)&gt;0,"مطابق، دوز مازاد","مطابق"))))))</f>
        <v/>
      </c>
      <c r="AA185" s="13" t="str">
        <f aca="false">IF(B185="","",IFERROR(COUNTIF(J185:Q185,"بله")/(COUNTIF(J185:Q185,"بله")+COUNTIF(J185:Q185,"خیر")),""))</f>
        <v/>
      </c>
      <c r="AB185" s="14" t="str">
        <f aca="false">IF(B185="","",IF(Z185="مطابق",0,IF(Z185="مطابق، دوز مازاد",N(X185)*N(W185),(N(R185)-N(T185))*N(W185))))</f>
        <v/>
      </c>
      <c r="AC185" s="12"/>
      <c r="AD185" s="12"/>
      <c r="AE185" s="10" t="str">
        <f aca="false">IF(B185="","",IF(AND(N(AC185)&gt;0,NOT(OR(Z185="مطابق",Z185="مطابق، دوز مازاد"))),"ریسک کسورات",IF(AND(OR(Z185="مطابق",Z185="مطابق، دوز مازاد"),N(AC185)=0,D185&lt;&gt;"آزاد",D185&lt;&gt;""),"بررسی امکان دریافت از بیمه","")))</f>
        <v/>
      </c>
      <c r="AF185" s="11"/>
    </row>
    <row r="186" customFormat="false" ht="15" hidden="false" customHeight="false" outlineLevel="0" collapsed="false">
      <c r="A186" s="10" t="str">
        <f aca="false">IF(B186="","",ROW()-2)</f>
        <v/>
      </c>
      <c r="B186" s="11"/>
      <c r="C186" s="11"/>
      <c r="D186" s="11"/>
      <c r="E186" s="11"/>
      <c r="F186" s="11"/>
      <c r="G186" s="11"/>
      <c r="H186" s="10" t="str">
        <f aca="false">IF(G186="","",IFERROR(INDEX('اندیکاسیون‌ها'!$C$3:$C$22,MATCH(G186,'اندیکاسیون‌ها'!$A$3:$A$22,0)),"کد نامعتبر"))</f>
        <v/>
      </c>
      <c r="I186" s="10" t="str">
        <f aca="false">IF(G186="","",IFERROR(INDEX('اندیکاسیون‌ها'!$B$3:$B$22,MATCH(G186,'اندیکاسیون‌ها'!$A$3:$A$22,0)),""))</f>
        <v/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0" t="str">
        <f aca="false">IF(G186="","",IFERROR(INDEX('اندیکاسیون‌ها'!$F$3:$F$22,MATCH(G186,'اندیکاسیون‌ها'!$A$3:$A$22,0)),""))</f>
        <v/>
      </c>
      <c r="V186" s="11"/>
      <c r="W186" s="12"/>
      <c r="X186" s="10" t="str">
        <f aca="false">IF(OR(B186="",IF(V186&lt;&gt;"",V186,U186)=""),"",MAX(0,N(R186)-N(T186)-IF(V186&lt;&gt;"",V186,U186)))</f>
        <v/>
      </c>
      <c r="Y186" s="10" t="str">
        <f aca="false">IF(B186="","",N(R186)-N(S186)-N(T186))</f>
        <v/>
      </c>
      <c r="Z186" s="10" t="str">
        <f aca="false">IF(B186="","",IF(OR(G186="",G186="U0"),"اندیکاسیون نامشخص",IF(I186="بدون اندیکاسیون","بدون اندیکاسیون",IF(AND(I186="خارج از جدول",P186&lt;&gt;"بله"),"خارج از جدول بدون تأیید",IF(L186&lt;&gt;"بله","معیار مستند نشده",IF(N(X186)&gt;0,"مطابق، دوز مازاد","مطابق"))))))</f>
        <v/>
      </c>
      <c r="AA186" s="13" t="str">
        <f aca="false">IF(B186="","",IFERROR(COUNTIF(J186:Q186,"بله")/(COUNTIF(J186:Q186,"بله")+COUNTIF(J186:Q186,"خیر")),""))</f>
        <v/>
      </c>
      <c r="AB186" s="14" t="str">
        <f aca="false">IF(B186="","",IF(Z186="مطابق",0,IF(Z186="مطابق، دوز مازاد",N(X186)*N(W186),(N(R186)-N(T186))*N(W186))))</f>
        <v/>
      </c>
      <c r="AC186" s="12"/>
      <c r="AD186" s="12"/>
      <c r="AE186" s="10" t="str">
        <f aca="false">IF(B186="","",IF(AND(N(AC186)&gt;0,NOT(OR(Z186="مطابق",Z186="مطابق، دوز مازاد"))),"ریسک کسورات",IF(AND(OR(Z186="مطابق",Z186="مطابق، دوز مازاد"),N(AC186)=0,D186&lt;&gt;"آزاد",D186&lt;&gt;""),"بررسی امکان دریافت از بیمه","")))</f>
        <v/>
      </c>
      <c r="AF186" s="11"/>
    </row>
    <row r="187" customFormat="false" ht="15" hidden="false" customHeight="false" outlineLevel="0" collapsed="false">
      <c r="A187" s="10" t="str">
        <f aca="false">IF(B187="","",ROW()-2)</f>
        <v/>
      </c>
      <c r="B187" s="11"/>
      <c r="C187" s="11"/>
      <c r="D187" s="11"/>
      <c r="E187" s="11"/>
      <c r="F187" s="11"/>
      <c r="G187" s="11"/>
      <c r="H187" s="10" t="str">
        <f aca="false">IF(G187="","",IFERROR(INDEX('اندیکاسیون‌ها'!$C$3:$C$22,MATCH(G187,'اندیکاسیون‌ها'!$A$3:$A$22,0)),"کد نامعتبر"))</f>
        <v/>
      </c>
      <c r="I187" s="10" t="str">
        <f aca="false">IF(G187="","",IFERROR(INDEX('اندیکاسیون‌ها'!$B$3:$B$22,MATCH(G187,'اندیکاسیون‌ها'!$A$3:$A$22,0)),""))</f>
        <v/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0" t="str">
        <f aca="false">IF(G187="","",IFERROR(INDEX('اندیکاسیون‌ها'!$F$3:$F$22,MATCH(G187,'اندیکاسیون‌ها'!$A$3:$A$22,0)),""))</f>
        <v/>
      </c>
      <c r="V187" s="11"/>
      <c r="W187" s="12"/>
      <c r="X187" s="10" t="str">
        <f aca="false">IF(OR(B187="",IF(V187&lt;&gt;"",V187,U187)=""),"",MAX(0,N(R187)-N(T187)-IF(V187&lt;&gt;"",V187,U187)))</f>
        <v/>
      </c>
      <c r="Y187" s="10" t="str">
        <f aca="false">IF(B187="","",N(R187)-N(S187)-N(T187))</f>
        <v/>
      </c>
      <c r="Z187" s="10" t="str">
        <f aca="false">IF(B187="","",IF(OR(G187="",G187="U0"),"اندیکاسیون نامشخص",IF(I187="بدون اندیکاسیون","بدون اندیکاسیون",IF(AND(I187="خارج از جدول",P187&lt;&gt;"بله"),"خارج از جدول بدون تأیید",IF(L187&lt;&gt;"بله","معیار مستند نشده",IF(N(X187)&gt;0,"مطابق، دوز مازاد","مطابق"))))))</f>
        <v/>
      </c>
      <c r="AA187" s="13" t="str">
        <f aca="false">IF(B187="","",IFERROR(COUNTIF(J187:Q187,"بله")/(COUNTIF(J187:Q187,"بله")+COUNTIF(J187:Q187,"خیر")),""))</f>
        <v/>
      </c>
      <c r="AB187" s="14" t="str">
        <f aca="false">IF(B187="","",IF(Z187="مطابق",0,IF(Z187="مطابق، دوز مازاد",N(X187)*N(W187),(N(R187)-N(T187))*N(W187))))</f>
        <v/>
      </c>
      <c r="AC187" s="12"/>
      <c r="AD187" s="12"/>
      <c r="AE187" s="10" t="str">
        <f aca="false">IF(B187="","",IF(AND(N(AC187)&gt;0,NOT(OR(Z187="مطابق",Z187="مطابق، دوز مازاد"))),"ریسک کسورات",IF(AND(OR(Z187="مطابق",Z187="مطابق، دوز مازاد"),N(AC187)=0,D187&lt;&gt;"آزاد",D187&lt;&gt;""),"بررسی امکان دریافت از بیمه","")))</f>
        <v/>
      </c>
      <c r="AF187" s="11"/>
    </row>
    <row r="188" customFormat="false" ht="15" hidden="false" customHeight="false" outlineLevel="0" collapsed="false">
      <c r="A188" s="10" t="str">
        <f aca="false">IF(B188="","",ROW()-2)</f>
        <v/>
      </c>
      <c r="B188" s="11"/>
      <c r="C188" s="11"/>
      <c r="D188" s="11"/>
      <c r="E188" s="11"/>
      <c r="F188" s="11"/>
      <c r="G188" s="11"/>
      <c r="H188" s="10" t="str">
        <f aca="false">IF(G188="","",IFERROR(INDEX('اندیکاسیون‌ها'!$C$3:$C$22,MATCH(G188,'اندیکاسیون‌ها'!$A$3:$A$22,0)),"کد نامعتبر"))</f>
        <v/>
      </c>
      <c r="I188" s="10" t="str">
        <f aca="false">IF(G188="","",IFERROR(INDEX('اندیکاسیون‌ها'!$B$3:$B$22,MATCH(G188,'اندیکاسیون‌ها'!$A$3:$A$22,0)),""))</f>
        <v/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0" t="str">
        <f aca="false">IF(G188="","",IFERROR(INDEX('اندیکاسیون‌ها'!$F$3:$F$22,MATCH(G188,'اندیکاسیون‌ها'!$A$3:$A$22,0)),""))</f>
        <v/>
      </c>
      <c r="V188" s="11"/>
      <c r="W188" s="12"/>
      <c r="X188" s="10" t="str">
        <f aca="false">IF(OR(B188="",IF(V188&lt;&gt;"",V188,U188)=""),"",MAX(0,N(R188)-N(T188)-IF(V188&lt;&gt;"",V188,U188)))</f>
        <v/>
      </c>
      <c r="Y188" s="10" t="str">
        <f aca="false">IF(B188="","",N(R188)-N(S188)-N(T188))</f>
        <v/>
      </c>
      <c r="Z188" s="10" t="str">
        <f aca="false">IF(B188="","",IF(OR(G188="",G188="U0"),"اندیکاسیون نامشخص",IF(I188="بدون اندیکاسیون","بدون اندیکاسیون",IF(AND(I188="خارج از جدول",P188&lt;&gt;"بله"),"خارج از جدول بدون تأیید",IF(L188&lt;&gt;"بله","معیار مستند نشده",IF(N(X188)&gt;0,"مطابق، دوز مازاد","مطابق"))))))</f>
        <v/>
      </c>
      <c r="AA188" s="13" t="str">
        <f aca="false">IF(B188="","",IFERROR(COUNTIF(J188:Q188,"بله")/(COUNTIF(J188:Q188,"بله")+COUNTIF(J188:Q188,"خیر")),""))</f>
        <v/>
      </c>
      <c r="AB188" s="14" t="str">
        <f aca="false">IF(B188="","",IF(Z188="مطابق",0,IF(Z188="مطابق، دوز مازاد",N(X188)*N(W188),(N(R188)-N(T188))*N(W188))))</f>
        <v/>
      </c>
      <c r="AC188" s="12"/>
      <c r="AD188" s="12"/>
      <c r="AE188" s="10" t="str">
        <f aca="false">IF(B188="","",IF(AND(N(AC188)&gt;0,NOT(OR(Z188="مطابق",Z188="مطابق، دوز مازاد"))),"ریسک کسورات",IF(AND(OR(Z188="مطابق",Z188="مطابق، دوز مازاد"),N(AC188)=0,D188&lt;&gt;"آزاد",D188&lt;&gt;""),"بررسی امکان دریافت از بیمه","")))</f>
        <v/>
      </c>
      <c r="AF188" s="11"/>
    </row>
    <row r="189" customFormat="false" ht="15" hidden="false" customHeight="false" outlineLevel="0" collapsed="false">
      <c r="A189" s="10" t="str">
        <f aca="false">IF(B189="","",ROW()-2)</f>
        <v/>
      </c>
      <c r="B189" s="11"/>
      <c r="C189" s="11"/>
      <c r="D189" s="11"/>
      <c r="E189" s="11"/>
      <c r="F189" s="11"/>
      <c r="G189" s="11"/>
      <c r="H189" s="10" t="str">
        <f aca="false">IF(G189="","",IFERROR(INDEX('اندیکاسیون‌ها'!$C$3:$C$22,MATCH(G189,'اندیکاسیون‌ها'!$A$3:$A$22,0)),"کد نامعتبر"))</f>
        <v/>
      </c>
      <c r="I189" s="10" t="str">
        <f aca="false">IF(G189="","",IFERROR(INDEX('اندیکاسیون‌ها'!$B$3:$B$22,MATCH(G189,'اندیکاسیون‌ها'!$A$3:$A$22,0)),""))</f>
        <v/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0" t="str">
        <f aca="false">IF(G189="","",IFERROR(INDEX('اندیکاسیون‌ها'!$F$3:$F$22,MATCH(G189,'اندیکاسیون‌ها'!$A$3:$A$22,0)),""))</f>
        <v/>
      </c>
      <c r="V189" s="11"/>
      <c r="W189" s="12"/>
      <c r="X189" s="10" t="str">
        <f aca="false">IF(OR(B189="",IF(V189&lt;&gt;"",V189,U189)=""),"",MAX(0,N(R189)-N(T189)-IF(V189&lt;&gt;"",V189,U189)))</f>
        <v/>
      </c>
      <c r="Y189" s="10" t="str">
        <f aca="false">IF(B189="","",N(R189)-N(S189)-N(T189))</f>
        <v/>
      </c>
      <c r="Z189" s="10" t="str">
        <f aca="false">IF(B189="","",IF(OR(G189="",G189="U0"),"اندیکاسیون نامشخص",IF(I189="بدون اندیکاسیون","بدون اندیکاسیون",IF(AND(I189="خارج از جدول",P189&lt;&gt;"بله"),"خارج از جدول بدون تأیید",IF(L189&lt;&gt;"بله","معیار مستند نشده",IF(N(X189)&gt;0,"مطابق، دوز مازاد","مطابق"))))))</f>
        <v/>
      </c>
      <c r="AA189" s="13" t="str">
        <f aca="false">IF(B189="","",IFERROR(COUNTIF(J189:Q189,"بله")/(COUNTIF(J189:Q189,"بله")+COUNTIF(J189:Q189,"خیر")),""))</f>
        <v/>
      </c>
      <c r="AB189" s="14" t="str">
        <f aca="false">IF(B189="","",IF(Z189="مطابق",0,IF(Z189="مطابق، دوز مازاد",N(X189)*N(W189),(N(R189)-N(T189))*N(W189))))</f>
        <v/>
      </c>
      <c r="AC189" s="12"/>
      <c r="AD189" s="12"/>
      <c r="AE189" s="10" t="str">
        <f aca="false">IF(B189="","",IF(AND(N(AC189)&gt;0,NOT(OR(Z189="مطابق",Z189="مطابق، دوز مازاد"))),"ریسک کسورات",IF(AND(OR(Z189="مطابق",Z189="مطابق، دوز مازاد"),N(AC189)=0,D189&lt;&gt;"آزاد",D189&lt;&gt;""),"بررسی امکان دریافت از بیمه","")))</f>
        <v/>
      </c>
      <c r="AF189" s="11"/>
    </row>
    <row r="190" customFormat="false" ht="15" hidden="false" customHeight="false" outlineLevel="0" collapsed="false">
      <c r="A190" s="10" t="str">
        <f aca="false">IF(B190="","",ROW()-2)</f>
        <v/>
      </c>
      <c r="B190" s="11"/>
      <c r="C190" s="11"/>
      <c r="D190" s="11"/>
      <c r="E190" s="11"/>
      <c r="F190" s="11"/>
      <c r="G190" s="11"/>
      <c r="H190" s="10" t="str">
        <f aca="false">IF(G190="","",IFERROR(INDEX('اندیکاسیون‌ها'!$C$3:$C$22,MATCH(G190,'اندیکاسیون‌ها'!$A$3:$A$22,0)),"کد نامعتبر"))</f>
        <v/>
      </c>
      <c r="I190" s="10" t="str">
        <f aca="false">IF(G190="","",IFERROR(INDEX('اندیکاسیون‌ها'!$B$3:$B$22,MATCH(G190,'اندیکاسیون‌ها'!$A$3:$A$22,0)),""))</f>
        <v/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0" t="str">
        <f aca="false">IF(G190="","",IFERROR(INDEX('اندیکاسیون‌ها'!$F$3:$F$22,MATCH(G190,'اندیکاسیون‌ها'!$A$3:$A$22,0)),""))</f>
        <v/>
      </c>
      <c r="V190" s="11"/>
      <c r="W190" s="12"/>
      <c r="X190" s="10" t="str">
        <f aca="false">IF(OR(B190="",IF(V190&lt;&gt;"",V190,U190)=""),"",MAX(0,N(R190)-N(T190)-IF(V190&lt;&gt;"",V190,U190)))</f>
        <v/>
      </c>
      <c r="Y190" s="10" t="str">
        <f aca="false">IF(B190="","",N(R190)-N(S190)-N(T190))</f>
        <v/>
      </c>
      <c r="Z190" s="10" t="str">
        <f aca="false">IF(B190="","",IF(OR(G190="",G190="U0"),"اندیکاسیون نامشخص",IF(I190="بدون اندیکاسیون","بدون اندیکاسیون",IF(AND(I190="خارج از جدول",P190&lt;&gt;"بله"),"خارج از جدول بدون تأیید",IF(L190&lt;&gt;"بله","معیار مستند نشده",IF(N(X190)&gt;0,"مطابق، دوز مازاد","مطابق"))))))</f>
        <v/>
      </c>
      <c r="AA190" s="13" t="str">
        <f aca="false">IF(B190="","",IFERROR(COUNTIF(J190:Q190,"بله")/(COUNTIF(J190:Q190,"بله")+COUNTIF(J190:Q190,"خیر")),""))</f>
        <v/>
      </c>
      <c r="AB190" s="14" t="str">
        <f aca="false">IF(B190="","",IF(Z190="مطابق",0,IF(Z190="مطابق، دوز مازاد",N(X190)*N(W190),(N(R190)-N(T190))*N(W190))))</f>
        <v/>
      </c>
      <c r="AC190" s="12"/>
      <c r="AD190" s="12"/>
      <c r="AE190" s="10" t="str">
        <f aca="false">IF(B190="","",IF(AND(N(AC190)&gt;0,NOT(OR(Z190="مطابق",Z190="مطابق، دوز مازاد"))),"ریسک کسورات",IF(AND(OR(Z190="مطابق",Z190="مطابق، دوز مازاد"),N(AC190)=0,D190&lt;&gt;"آزاد",D190&lt;&gt;""),"بررسی امکان دریافت از بیمه","")))</f>
        <v/>
      </c>
      <c r="AF190" s="11"/>
    </row>
    <row r="191" customFormat="false" ht="15" hidden="false" customHeight="false" outlineLevel="0" collapsed="false">
      <c r="A191" s="10" t="str">
        <f aca="false">IF(B191="","",ROW()-2)</f>
        <v/>
      </c>
      <c r="B191" s="11"/>
      <c r="C191" s="11"/>
      <c r="D191" s="11"/>
      <c r="E191" s="11"/>
      <c r="F191" s="11"/>
      <c r="G191" s="11"/>
      <c r="H191" s="10" t="str">
        <f aca="false">IF(G191="","",IFERROR(INDEX('اندیکاسیون‌ها'!$C$3:$C$22,MATCH(G191,'اندیکاسیون‌ها'!$A$3:$A$22,0)),"کد نامعتبر"))</f>
        <v/>
      </c>
      <c r="I191" s="10" t="str">
        <f aca="false">IF(G191="","",IFERROR(INDEX('اندیکاسیون‌ها'!$B$3:$B$22,MATCH(G191,'اندیکاسیون‌ها'!$A$3:$A$22,0)),""))</f>
        <v/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0" t="str">
        <f aca="false">IF(G191="","",IFERROR(INDEX('اندیکاسیون‌ها'!$F$3:$F$22,MATCH(G191,'اندیکاسیون‌ها'!$A$3:$A$22,0)),""))</f>
        <v/>
      </c>
      <c r="V191" s="11"/>
      <c r="W191" s="12"/>
      <c r="X191" s="10" t="str">
        <f aca="false">IF(OR(B191="",IF(V191&lt;&gt;"",V191,U191)=""),"",MAX(0,N(R191)-N(T191)-IF(V191&lt;&gt;"",V191,U191)))</f>
        <v/>
      </c>
      <c r="Y191" s="10" t="str">
        <f aca="false">IF(B191="","",N(R191)-N(S191)-N(T191))</f>
        <v/>
      </c>
      <c r="Z191" s="10" t="str">
        <f aca="false">IF(B191="","",IF(OR(G191="",G191="U0"),"اندیکاسیون نامشخص",IF(I191="بدون اندیکاسیون","بدون اندیکاسیون",IF(AND(I191="خارج از جدول",P191&lt;&gt;"بله"),"خارج از جدول بدون تأیید",IF(L191&lt;&gt;"بله","معیار مستند نشده",IF(N(X191)&gt;0,"مطابق، دوز مازاد","مطابق"))))))</f>
        <v/>
      </c>
      <c r="AA191" s="13" t="str">
        <f aca="false">IF(B191="","",IFERROR(COUNTIF(J191:Q191,"بله")/(COUNTIF(J191:Q191,"بله")+COUNTIF(J191:Q191,"خیر")),""))</f>
        <v/>
      </c>
      <c r="AB191" s="14" t="str">
        <f aca="false">IF(B191="","",IF(Z191="مطابق",0,IF(Z191="مطابق، دوز مازاد",N(X191)*N(W191),(N(R191)-N(T191))*N(W191))))</f>
        <v/>
      </c>
      <c r="AC191" s="12"/>
      <c r="AD191" s="12"/>
      <c r="AE191" s="10" t="str">
        <f aca="false">IF(B191="","",IF(AND(N(AC191)&gt;0,NOT(OR(Z191="مطابق",Z191="مطابق، دوز مازاد"))),"ریسک کسورات",IF(AND(OR(Z191="مطابق",Z191="مطابق، دوز مازاد"),N(AC191)=0,D191&lt;&gt;"آزاد",D191&lt;&gt;""),"بررسی امکان دریافت از بیمه","")))</f>
        <v/>
      </c>
      <c r="AF191" s="11"/>
    </row>
    <row r="192" customFormat="false" ht="15" hidden="false" customHeight="false" outlineLevel="0" collapsed="false">
      <c r="A192" s="10" t="str">
        <f aca="false">IF(B192="","",ROW()-2)</f>
        <v/>
      </c>
      <c r="B192" s="11"/>
      <c r="C192" s="11"/>
      <c r="D192" s="11"/>
      <c r="E192" s="11"/>
      <c r="F192" s="11"/>
      <c r="G192" s="11"/>
      <c r="H192" s="10" t="str">
        <f aca="false">IF(G192="","",IFERROR(INDEX('اندیکاسیون‌ها'!$C$3:$C$22,MATCH(G192,'اندیکاسیون‌ها'!$A$3:$A$22,0)),"کد نامعتبر"))</f>
        <v/>
      </c>
      <c r="I192" s="10" t="str">
        <f aca="false">IF(G192="","",IFERROR(INDEX('اندیکاسیون‌ها'!$B$3:$B$22,MATCH(G192,'اندیکاسیون‌ها'!$A$3:$A$22,0)),""))</f>
        <v/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0" t="str">
        <f aca="false">IF(G192="","",IFERROR(INDEX('اندیکاسیون‌ها'!$F$3:$F$22,MATCH(G192,'اندیکاسیون‌ها'!$A$3:$A$22,0)),""))</f>
        <v/>
      </c>
      <c r="V192" s="11"/>
      <c r="W192" s="12"/>
      <c r="X192" s="10" t="str">
        <f aca="false">IF(OR(B192="",IF(V192&lt;&gt;"",V192,U192)=""),"",MAX(0,N(R192)-N(T192)-IF(V192&lt;&gt;"",V192,U192)))</f>
        <v/>
      </c>
      <c r="Y192" s="10" t="str">
        <f aca="false">IF(B192="","",N(R192)-N(S192)-N(T192))</f>
        <v/>
      </c>
      <c r="Z192" s="10" t="str">
        <f aca="false">IF(B192="","",IF(OR(G192="",G192="U0"),"اندیکاسیون نامشخص",IF(I192="بدون اندیکاسیون","بدون اندیکاسیون",IF(AND(I192="خارج از جدول",P192&lt;&gt;"بله"),"خارج از جدول بدون تأیید",IF(L192&lt;&gt;"بله","معیار مستند نشده",IF(N(X192)&gt;0,"مطابق، دوز مازاد","مطابق"))))))</f>
        <v/>
      </c>
      <c r="AA192" s="13" t="str">
        <f aca="false">IF(B192="","",IFERROR(COUNTIF(J192:Q192,"بله")/(COUNTIF(J192:Q192,"بله")+COUNTIF(J192:Q192,"خیر")),""))</f>
        <v/>
      </c>
      <c r="AB192" s="14" t="str">
        <f aca="false">IF(B192="","",IF(Z192="مطابق",0,IF(Z192="مطابق، دوز مازاد",N(X192)*N(W192),(N(R192)-N(T192))*N(W192))))</f>
        <v/>
      </c>
      <c r="AC192" s="12"/>
      <c r="AD192" s="12"/>
      <c r="AE192" s="10" t="str">
        <f aca="false">IF(B192="","",IF(AND(N(AC192)&gt;0,NOT(OR(Z192="مطابق",Z192="مطابق، دوز مازاد"))),"ریسک کسورات",IF(AND(OR(Z192="مطابق",Z192="مطابق، دوز مازاد"),N(AC192)=0,D192&lt;&gt;"آزاد",D192&lt;&gt;""),"بررسی امکان دریافت از بیمه","")))</f>
        <v/>
      </c>
      <c r="AF192" s="11"/>
    </row>
    <row r="193" customFormat="false" ht="15" hidden="false" customHeight="false" outlineLevel="0" collapsed="false">
      <c r="A193" s="10" t="str">
        <f aca="false">IF(B193="","",ROW()-2)</f>
        <v/>
      </c>
      <c r="B193" s="11"/>
      <c r="C193" s="11"/>
      <c r="D193" s="11"/>
      <c r="E193" s="11"/>
      <c r="F193" s="11"/>
      <c r="G193" s="11"/>
      <c r="H193" s="10" t="str">
        <f aca="false">IF(G193="","",IFERROR(INDEX('اندیکاسیون‌ها'!$C$3:$C$22,MATCH(G193,'اندیکاسیون‌ها'!$A$3:$A$22,0)),"کد نامعتبر"))</f>
        <v/>
      </c>
      <c r="I193" s="10" t="str">
        <f aca="false">IF(G193="","",IFERROR(INDEX('اندیکاسیون‌ها'!$B$3:$B$22,MATCH(G193,'اندیکاسیون‌ها'!$A$3:$A$22,0)),""))</f>
        <v/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0" t="str">
        <f aca="false">IF(G193="","",IFERROR(INDEX('اندیکاسیون‌ها'!$F$3:$F$22,MATCH(G193,'اندیکاسیون‌ها'!$A$3:$A$22,0)),""))</f>
        <v/>
      </c>
      <c r="V193" s="11"/>
      <c r="W193" s="12"/>
      <c r="X193" s="10" t="str">
        <f aca="false">IF(OR(B193="",IF(V193&lt;&gt;"",V193,U193)=""),"",MAX(0,N(R193)-N(T193)-IF(V193&lt;&gt;"",V193,U193)))</f>
        <v/>
      </c>
      <c r="Y193" s="10" t="str">
        <f aca="false">IF(B193="","",N(R193)-N(S193)-N(T193))</f>
        <v/>
      </c>
      <c r="Z193" s="10" t="str">
        <f aca="false">IF(B193="","",IF(OR(G193="",G193="U0"),"اندیکاسیون نامشخص",IF(I193="بدون اندیکاسیون","بدون اندیکاسیون",IF(AND(I193="خارج از جدول",P193&lt;&gt;"بله"),"خارج از جدول بدون تأیید",IF(L193&lt;&gt;"بله","معیار مستند نشده",IF(N(X193)&gt;0,"مطابق، دوز مازاد","مطابق"))))))</f>
        <v/>
      </c>
      <c r="AA193" s="13" t="str">
        <f aca="false">IF(B193="","",IFERROR(COUNTIF(J193:Q193,"بله")/(COUNTIF(J193:Q193,"بله")+COUNTIF(J193:Q193,"خیر")),""))</f>
        <v/>
      </c>
      <c r="AB193" s="14" t="str">
        <f aca="false">IF(B193="","",IF(Z193="مطابق",0,IF(Z193="مطابق، دوز مازاد",N(X193)*N(W193),(N(R193)-N(T193))*N(W193))))</f>
        <v/>
      </c>
      <c r="AC193" s="12"/>
      <c r="AD193" s="12"/>
      <c r="AE193" s="10" t="str">
        <f aca="false">IF(B193="","",IF(AND(N(AC193)&gt;0,NOT(OR(Z193="مطابق",Z193="مطابق، دوز مازاد"))),"ریسک کسورات",IF(AND(OR(Z193="مطابق",Z193="مطابق، دوز مازاد"),N(AC193)=0,D193&lt;&gt;"آزاد",D193&lt;&gt;""),"بررسی امکان دریافت از بیمه","")))</f>
        <v/>
      </c>
      <c r="AF193" s="11"/>
    </row>
    <row r="194" customFormat="false" ht="15" hidden="false" customHeight="false" outlineLevel="0" collapsed="false">
      <c r="A194" s="10" t="str">
        <f aca="false">IF(B194="","",ROW()-2)</f>
        <v/>
      </c>
      <c r="B194" s="11"/>
      <c r="C194" s="11"/>
      <c r="D194" s="11"/>
      <c r="E194" s="11"/>
      <c r="F194" s="11"/>
      <c r="G194" s="11"/>
      <c r="H194" s="10" t="str">
        <f aca="false">IF(G194="","",IFERROR(INDEX('اندیکاسیون‌ها'!$C$3:$C$22,MATCH(G194,'اندیکاسیون‌ها'!$A$3:$A$22,0)),"کد نامعتبر"))</f>
        <v/>
      </c>
      <c r="I194" s="10" t="str">
        <f aca="false">IF(G194="","",IFERROR(INDEX('اندیکاسیون‌ها'!$B$3:$B$22,MATCH(G194,'اندیکاسیون‌ها'!$A$3:$A$22,0)),""))</f>
        <v/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0" t="str">
        <f aca="false">IF(G194="","",IFERROR(INDEX('اندیکاسیون‌ها'!$F$3:$F$22,MATCH(G194,'اندیکاسیون‌ها'!$A$3:$A$22,0)),""))</f>
        <v/>
      </c>
      <c r="V194" s="11"/>
      <c r="W194" s="12"/>
      <c r="X194" s="10" t="str">
        <f aca="false">IF(OR(B194="",IF(V194&lt;&gt;"",V194,U194)=""),"",MAX(0,N(R194)-N(T194)-IF(V194&lt;&gt;"",V194,U194)))</f>
        <v/>
      </c>
      <c r="Y194" s="10" t="str">
        <f aca="false">IF(B194="","",N(R194)-N(S194)-N(T194))</f>
        <v/>
      </c>
      <c r="Z194" s="10" t="str">
        <f aca="false">IF(B194="","",IF(OR(G194="",G194="U0"),"اندیکاسیون نامشخص",IF(I194="بدون اندیکاسیون","بدون اندیکاسیون",IF(AND(I194="خارج از جدول",P194&lt;&gt;"بله"),"خارج از جدول بدون تأیید",IF(L194&lt;&gt;"بله","معیار مستند نشده",IF(N(X194)&gt;0,"مطابق، دوز مازاد","مطابق"))))))</f>
        <v/>
      </c>
      <c r="AA194" s="13" t="str">
        <f aca="false">IF(B194="","",IFERROR(COUNTIF(J194:Q194,"بله")/(COUNTIF(J194:Q194,"بله")+COUNTIF(J194:Q194,"خیر")),""))</f>
        <v/>
      </c>
      <c r="AB194" s="14" t="str">
        <f aca="false">IF(B194="","",IF(Z194="مطابق",0,IF(Z194="مطابق، دوز مازاد",N(X194)*N(W194),(N(R194)-N(T194))*N(W194))))</f>
        <v/>
      </c>
      <c r="AC194" s="12"/>
      <c r="AD194" s="12"/>
      <c r="AE194" s="10" t="str">
        <f aca="false">IF(B194="","",IF(AND(N(AC194)&gt;0,NOT(OR(Z194="مطابق",Z194="مطابق، دوز مازاد"))),"ریسک کسورات",IF(AND(OR(Z194="مطابق",Z194="مطابق، دوز مازاد"),N(AC194)=0,D194&lt;&gt;"آزاد",D194&lt;&gt;""),"بررسی امکان دریافت از بیمه","")))</f>
        <v/>
      </c>
      <c r="AF194" s="11"/>
    </row>
    <row r="195" customFormat="false" ht="15" hidden="false" customHeight="false" outlineLevel="0" collapsed="false">
      <c r="A195" s="10" t="str">
        <f aca="false">IF(B195="","",ROW()-2)</f>
        <v/>
      </c>
      <c r="B195" s="11"/>
      <c r="C195" s="11"/>
      <c r="D195" s="11"/>
      <c r="E195" s="11"/>
      <c r="F195" s="11"/>
      <c r="G195" s="11"/>
      <c r="H195" s="10" t="str">
        <f aca="false">IF(G195="","",IFERROR(INDEX('اندیکاسیون‌ها'!$C$3:$C$22,MATCH(G195,'اندیکاسیون‌ها'!$A$3:$A$22,0)),"کد نامعتبر"))</f>
        <v/>
      </c>
      <c r="I195" s="10" t="str">
        <f aca="false">IF(G195="","",IFERROR(INDEX('اندیکاسیون‌ها'!$B$3:$B$22,MATCH(G195,'اندیکاسیون‌ها'!$A$3:$A$22,0)),""))</f>
        <v/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0" t="str">
        <f aca="false">IF(G195="","",IFERROR(INDEX('اندیکاسیون‌ها'!$F$3:$F$22,MATCH(G195,'اندیکاسیون‌ها'!$A$3:$A$22,0)),""))</f>
        <v/>
      </c>
      <c r="V195" s="11"/>
      <c r="W195" s="12"/>
      <c r="X195" s="10" t="str">
        <f aca="false">IF(OR(B195="",IF(V195&lt;&gt;"",V195,U195)=""),"",MAX(0,N(R195)-N(T195)-IF(V195&lt;&gt;"",V195,U195)))</f>
        <v/>
      </c>
      <c r="Y195" s="10" t="str">
        <f aca="false">IF(B195="","",N(R195)-N(S195)-N(T195))</f>
        <v/>
      </c>
      <c r="Z195" s="10" t="str">
        <f aca="false">IF(B195="","",IF(OR(G195="",G195="U0"),"اندیکاسیون نامشخص",IF(I195="بدون اندیکاسیون","بدون اندیکاسیون",IF(AND(I195="خارج از جدول",P195&lt;&gt;"بله"),"خارج از جدول بدون تأیید",IF(L195&lt;&gt;"بله","معیار مستند نشده",IF(N(X195)&gt;0,"مطابق، دوز مازاد","مطابق"))))))</f>
        <v/>
      </c>
      <c r="AA195" s="13" t="str">
        <f aca="false">IF(B195="","",IFERROR(COUNTIF(J195:Q195,"بله")/(COUNTIF(J195:Q195,"بله")+COUNTIF(J195:Q195,"خیر")),""))</f>
        <v/>
      </c>
      <c r="AB195" s="14" t="str">
        <f aca="false">IF(B195="","",IF(Z195="مطابق",0,IF(Z195="مطابق، دوز مازاد",N(X195)*N(W195),(N(R195)-N(T195))*N(W195))))</f>
        <v/>
      </c>
      <c r="AC195" s="12"/>
      <c r="AD195" s="12"/>
      <c r="AE195" s="10" t="str">
        <f aca="false">IF(B195="","",IF(AND(N(AC195)&gt;0,NOT(OR(Z195="مطابق",Z195="مطابق، دوز مازاد"))),"ریسک کسورات",IF(AND(OR(Z195="مطابق",Z195="مطابق، دوز مازاد"),N(AC195)=0,D195&lt;&gt;"آزاد",D195&lt;&gt;""),"بررسی امکان دریافت از بیمه","")))</f>
        <v/>
      </c>
      <c r="AF195" s="11"/>
    </row>
    <row r="196" customFormat="false" ht="15" hidden="false" customHeight="false" outlineLevel="0" collapsed="false">
      <c r="A196" s="10" t="str">
        <f aca="false">IF(B196="","",ROW()-2)</f>
        <v/>
      </c>
      <c r="B196" s="11"/>
      <c r="C196" s="11"/>
      <c r="D196" s="11"/>
      <c r="E196" s="11"/>
      <c r="F196" s="11"/>
      <c r="G196" s="11"/>
      <c r="H196" s="10" t="str">
        <f aca="false">IF(G196="","",IFERROR(INDEX('اندیکاسیون‌ها'!$C$3:$C$22,MATCH(G196,'اندیکاسیون‌ها'!$A$3:$A$22,0)),"کد نامعتبر"))</f>
        <v/>
      </c>
      <c r="I196" s="10" t="str">
        <f aca="false">IF(G196="","",IFERROR(INDEX('اندیکاسیون‌ها'!$B$3:$B$22,MATCH(G196,'اندیکاسیون‌ها'!$A$3:$A$22,0)),""))</f>
        <v/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0" t="str">
        <f aca="false">IF(G196="","",IFERROR(INDEX('اندیکاسیون‌ها'!$F$3:$F$22,MATCH(G196,'اندیکاسیون‌ها'!$A$3:$A$22,0)),""))</f>
        <v/>
      </c>
      <c r="V196" s="11"/>
      <c r="W196" s="12"/>
      <c r="X196" s="10" t="str">
        <f aca="false">IF(OR(B196="",IF(V196&lt;&gt;"",V196,U196)=""),"",MAX(0,N(R196)-N(T196)-IF(V196&lt;&gt;"",V196,U196)))</f>
        <v/>
      </c>
      <c r="Y196" s="10" t="str">
        <f aca="false">IF(B196="","",N(R196)-N(S196)-N(T196))</f>
        <v/>
      </c>
      <c r="Z196" s="10" t="str">
        <f aca="false">IF(B196="","",IF(OR(G196="",G196="U0"),"اندیکاسیون نامشخص",IF(I196="بدون اندیکاسیون","بدون اندیکاسیون",IF(AND(I196="خارج از جدول",P196&lt;&gt;"بله"),"خارج از جدول بدون تأیید",IF(L196&lt;&gt;"بله","معیار مستند نشده",IF(N(X196)&gt;0,"مطابق، دوز مازاد","مطابق"))))))</f>
        <v/>
      </c>
      <c r="AA196" s="13" t="str">
        <f aca="false">IF(B196="","",IFERROR(COUNTIF(J196:Q196,"بله")/(COUNTIF(J196:Q196,"بله")+COUNTIF(J196:Q196,"خیر")),""))</f>
        <v/>
      </c>
      <c r="AB196" s="14" t="str">
        <f aca="false">IF(B196="","",IF(Z196="مطابق",0,IF(Z196="مطابق، دوز مازاد",N(X196)*N(W196),(N(R196)-N(T196))*N(W196))))</f>
        <v/>
      </c>
      <c r="AC196" s="12"/>
      <c r="AD196" s="12"/>
      <c r="AE196" s="10" t="str">
        <f aca="false">IF(B196="","",IF(AND(N(AC196)&gt;0,NOT(OR(Z196="مطابق",Z196="مطابق، دوز مازاد"))),"ریسک کسورات",IF(AND(OR(Z196="مطابق",Z196="مطابق، دوز مازاد"),N(AC196)=0,D196&lt;&gt;"آزاد",D196&lt;&gt;""),"بررسی امکان دریافت از بیمه","")))</f>
        <v/>
      </c>
      <c r="AF196" s="11"/>
    </row>
    <row r="197" customFormat="false" ht="15" hidden="false" customHeight="false" outlineLevel="0" collapsed="false">
      <c r="A197" s="10" t="str">
        <f aca="false">IF(B197="","",ROW()-2)</f>
        <v/>
      </c>
      <c r="B197" s="11"/>
      <c r="C197" s="11"/>
      <c r="D197" s="11"/>
      <c r="E197" s="11"/>
      <c r="F197" s="11"/>
      <c r="G197" s="11"/>
      <c r="H197" s="10" t="str">
        <f aca="false">IF(G197="","",IFERROR(INDEX('اندیکاسیون‌ها'!$C$3:$C$22,MATCH(G197,'اندیکاسیون‌ها'!$A$3:$A$22,0)),"کد نامعتبر"))</f>
        <v/>
      </c>
      <c r="I197" s="10" t="str">
        <f aca="false">IF(G197="","",IFERROR(INDEX('اندیکاسیون‌ها'!$B$3:$B$22,MATCH(G197,'اندیکاسیون‌ها'!$A$3:$A$22,0)),""))</f>
        <v/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0" t="str">
        <f aca="false">IF(G197="","",IFERROR(INDEX('اندیکاسیون‌ها'!$F$3:$F$22,MATCH(G197,'اندیکاسیون‌ها'!$A$3:$A$22,0)),""))</f>
        <v/>
      </c>
      <c r="V197" s="11"/>
      <c r="W197" s="12"/>
      <c r="X197" s="10" t="str">
        <f aca="false">IF(OR(B197="",IF(V197&lt;&gt;"",V197,U197)=""),"",MAX(0,N(R197)-N(T197)-IF(V197&lt;&gt;"",V197,U197)))</f>
        <v/>
      </c>
      <c r="Y197" s="10" t="str">
        <f aca="false">IF(B197="","",N(R197)-N(S197)-N(T197))</f>
        <v/>
      </c>
      <c r="Z197" s="10" t="str">
        <f aca="false">IF(B197="","",IF(OR(G197="",G197="U0"),"اندیکاسیون نامشخص",IF(I197="بدون اندیکاسیون","بدون اندیکاسیون",IF(AND(I197="خارج از جدول",P197&lt;&gt;"بله"),"خارج از جدول بدون تأیید",IF(L197&lt;&gt;"بله","معیار مستند نشده",IF(N(X197)&gt;0,"مطابق، دوز مازاد","مطابق"))))))</f>
        <v/>
      </c>
      <c r="AA197" s="13" t="str">
        <f aca="false">IF(B197="","",IFERROR(COUNTIF(J197:Q197,"بله")/(COUNTIF(J197:Q197,"بله")+COUNTIF(J197:Q197,"خیر")),""))</f>
        <v/>
      </c>
      <c r="AB197" s="14" t="str">
        <f aca="false">IF(B197="","",IF(Z197="مطابق",0,IF(Z197="مطابق، دوز مازاد",N(X197)*N(W197),(N(R197)-N(T197))*N(W197))))</f>
        <v/>
      </c>
      <c r="AC197" s="12"/>
      <c r="AD197" s="12"/>
      <c r="AE197" s="10" t="str">
        <f aca="false">IF(B197="","",IF(AND(N(AC197)&gt;0,NOT(OR(Z197="مطابق",Z197="مطابق، دوز مازاد"))),"ریسک کسورات",IF(AND(OR(Z197="مطابق",Z197="مطابق، دوز مازاد"),N(AC197)=0,D197&lt;&gt;"آزاد",D197&lt;&gt;""),"بررسی امکان دریافت از بیمه","")))</f>
        <v/>
      </c>
      <c r="AF197" s="11"/>
    </row>
    <row r="198" customFormat="false" ht="15" hidden="false" customHeight="false" outlineLevel="0" collapsed="false">
      <c r="A198" s="10" t="str">
        <f aca="false">IF(B198="","",ROW()-2)</f>
        <v/>
      </c>
      <c r="B198" s="11"/>
      <c r="C198" s="11"/>
      <c r="D198" s="11"/>
      <c r="E198" s="11"/>
      <c r="F198" s="11"/>
      <c r="G198" s="11"/>
      <c r="H198" s="10" t="str">
        <f aca="false">IF(G198="","",IFERROR(INDEX('اندیکاسیون‌ها'!$C$3:$C$22,MATCH(G198,'اندیکاسیون‌ها'!$A$3:$A$22,0)),"کد نامعتبر"))</f>
        <v/>
      </c>
      <c r="I198" s="10" t="str">
        <f aca="false">IF(G198="","",IFERROR(INDEX('اندیکاسیون‌ها'!$B$3:$B$22,MATCH(G198,'اندیکاسیون‌ها'!$A$3:$A$22,0)),""))</f>
        <v/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0" t="str">
        <f aca="false">IF(G198="","",IFERROR(INDEX('اندیکاسیون‌ها'!$F$3:$F$22,MATCH(G198,'اندیکاسیون‌ها'!$A$3:$A$22,0)),""))</f>
        <v/>
      </c>
      <c r="V198" s="11"/>
      <c r="W198" s="12"/>
      <c r="X198" s="10" t="str">
        <f aca="false">IF(OR(B198="",IF(V198&lt;&gt;"",V198,U198)=""),"",MAX(0,N(R198)-N(T198)-IF(V198&lt;&gt;"",V198,U198)))</f>
        <v/>
      </c>
      <c r="Y198" s="10" t="str">
        <f aca="false">IF(B198="","",N(R198)-N(S198)-N(T198))</f>
        <v/>
      </c>
      <c r="Z198" s="10" t="str">
        <f aca="false">IF(B198="","",IF(OR(G198="",G198="U0"),"اندیکاسیون نامشخص",IF(I198="بدون اندیکاسیون","بدون اندیکاسیون",IF(AND(I198="خارج از جدول",P198&lt;&gt;"بله"),"خارج از جدول بدون تأیید",IF(L198&lt;&gt;"بله","معیار مستند نشده",IF(N(X198)&gt;0,"مطابق، دوز مازاد","مطابق"))))))</f>
        <v/>
      </c>
      <c r="AA198" s="13" t="str">
        <f aca="false">IF(B198="","",IFERROR(COUNTIF(J198:Q198,"بله")/(COUNTIF(J198:Q198,"بله")+COUNTIF(J198:Q198,"خیر")),""))</f>
        <v/>
      </c>
      <c r="AB198" s="14" t="str">
        <f aca="false">IF(B198="","",IF(Z198="مطابق",0,IF(Z198="مطابق، دوز مازاد",N(X198)*N(W198),(N(R198)-N(T198))*N(W198))))</f>
        <v/>
      </c>
      <c r="AC198" s="12"/>
      <c r="AD198" s="12"/>
      <c r="AE198" s="10" t="str">
        <f aca="false">IF(B198="","",IF(AND(N(AC198)&gt;0,NOT(OR(Z198="مطابق",Z198="مطابق، دوز مازاد"))),"ریسک کسورات",IF(AND(OR(Z198="مطابق",Z198="مطابق، دوز مازاد"),N(AC198)=0,D198&lt;&gt;"آزاد",D198&lt;&gt;""),"بررسی امکان دریافت از بیمه","")))</f>
        <v/>
      </c>
      <c r="AF198" s="11"/>
    </row>
    <row r="199" customFormat="false" ht="15" hidden="false" customHeight="false" outlineLevel="0" collapsed="false">
      <c r="A199" s="10" t="str">
        <f aca="false">IF(B199="","",ROW()-2)</f>
        <v/>
      </c>
      <c r="B199" s="11"/>
      <c r="C199" s="11"/>
      <c r="D199" s="11"/>
      <c r="E199" s="11"/>
      <c r="F199" s="11"/>
      <c r="G199" s="11"/>
      <c r="H199" s="10" t="str">
        <f aca="false">IF(G199="","",IFERROR(INDEX('اندیکاسیون‌ها'!$C$3:$C$22,MATCH(G199,'اندیکاسیون‌ها'!$A$3:$A$22,0)),"کد نامعتبر"))</f>
        <v/>
      </c>
      <c r="I199" s="10" t="str">
        <f aca="false">IF(G199="","",IFERROR(INDEX('اندیکاسیون‌ها'!$B$3:$B$22,MATCH(G199,'اندیکاسیون‌ها'!$A$3:$A$22,0)),""))</f>
        <v/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0" t="str">
        <f aca="false">IF(G199="","",IFERROR(INDEX('اندیکاسیون‌ها'!$F$3:$F$22,MATCH(G199,'اندیکاسیون‌ها'!$A$3:$A$22,0)),""))</f>
        <v/>
      </c>
      <c r="V199" s="11"/>
      <c r="W199" s="12"/>
      <c r="X199" s="10" t="str">
        <f aca="false">IF(OR(B199="",IF(V199&lt;&gt;"",V199,U199)=""),"",MAX(0,N(R199)-N(T199)-IF(V199&lt;&gt;"",V199,U199)))</f>
        <v/>
      </c>
      <c r="Y199" s="10" t="str">
        <f aca="false">IF(B199="","",N(R199)-N(S199)-N(T199))</f>
        <v/>
      </c>
      <c r="Z199" s="10" t="str">
        <f aca="false">IF(B199="","",IF(OR(G199="",G199="U0"),"اندیکاسیون نامشخص",IF(I199="بدون اندیکاسیون","بدون اندیکاسیون",IF(AND(I199="خارج از جدول",P199&lt;&gt;"بله"),"خارج از جدول بدون تأیید",IF(L199&lt;&gt;"بله","معیار مستند نشده",IF(N(X199)&gt;0,"مطابق، دوز مازاد","مطابق"))))))</f>
        <v/>
      </c>
      <c r="AA199" s="13" t="str">
        <f aca="false">IF(B199="","",IFERROR(COUNTIF(J199:Q199,"بله")/(COUNTIF(J199:Q199,"بله")+COUNTIF(J199:Q199,"خیر")),""))</f>
        <v/>
      </c>
      <c r="AB199" s="14" t="str">
        <f aca="false">IF(B199="","",IF(Z199="مطابق",0,IF(Z199="مطابق، دوز مازاد",N(X199)*N(W199),(N(R199)-N(T199))*N(W199))))</f>
        <v/>
      </c>
      <c r="AC199" s="12"/>
      <c r="AD199" s="12"/>
      <c r="AE199" s="10" t="str">
        <f aca="false">IF(B199="","",IF(AND(N(AC199)&gt;0,NOT(OR(Z199="مطابق",Z199="مطابق، دوز مازاد"))),"ریسک کسورات",IF(AND(OR(Z199="مطابق",Z199="مطابق، دوز مازاد"),N(AC199)=0,D199&lt;&gt;"آزاد",D199&lt;&gt;""),"بررسی امکان دریافت از بیمه","")))</f>
        <v/>
      </c>
      <c r="AF199" s="11"/>
    </row>
    <row r="200" customFormat="false" ht="15" hidden="false" customHeight="false" outlineLevel="0" collapsed="false">
      <c r="A200" s="10" t="str">
        <f aca="false">IF(B200="","",ROW()-2)</f>
        <v/>
      </c>
      <c r="B200" s="11"/>
      <c r="C200" s="11"/>
      <c r="D200" s="11"/>
      <c r="E200" s="11"/>
      <c r="F200" s="11"/>
      <c r="G200" s="11"/>
      <c r="H200" s="10" t="str">
        <f aca="false">IF(G200="","",IFERROR(INDEX('اندیکاسیون‌ها'!$C$3:$C$22,MATCH(G200,'اندیکاسیون‌ها'!$A$3:$A$22,0)),"کد نامعتبر"))</f>
        <v/>
      </c>
      <c r="I200" s="10" t="str">
        <f aca="false">IF(G200="","",IFERROR(INDEX('اندیکاسیون‌ها'!$B$3:$B$22,MATCH(G200,'اندیکاسیون‌ها'!$A$3:$A$22,0)),""))</f>
        <v/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0" t="str">
        <f aca="false">IF(G200="","",IFERROR(INDEX('اندیکاسیون‌ها'!$F$3:$F$22,MATCH(G200,'اندیکاسیون‌ها'!$A$3:$A$22,0)),""))</f>
        <v/>
      </c>
      <c r="V200" s="11"/>
      <c r="W200" s="12"/>
      <c r="X200" s="10" t="str">
        <f aca="false">IF(OR(B200="",IF(V200&lt;&gt;"",V200,U200)=""),"",MAX(0,N(R200)-N(T200)-IF(V200&lt;&gt;"",V200,U200)))</f>
        <v/>
      </c>
      <c r="Y200" s="10" t="str">
        <f aca="false">IF(B200="","",N(R200)-N(S200)-N(T200))</f>
        <v/>
      </c>
      <c r="Z200" s="10" t="str">
        <f aca="false">IF(B200="","",IF(OR(G200="",G200="U0"),"اندیکاسیون نامشخص",IF(I200="بدون اندیکاسیون","بدون اندیکاسیون",IF(AND(I200="خارج از جدول",P200&lt;&gt;"بله"),"خارج از جدول بدون تأیید",IF(L200&lt;&gt;"بله","معیار مستند نشده",IF(N(X200)&gt;0,"مطابق، دوز مازاد","مطابق"))))))</f>
        <v/>
      </c>
      <c r="AA200" s="13" t="str">
        <f aca="false">IF(B200="","",IFERROR(COUNTIF(J200:Q200,"بله")/(COUNTIF(J200:Q200,"بله")+COUNTIF(J200:Q200,"خیر")),""))</f>
        <v/>
      </c>
      <c r="AB200" s="14" t="str">
        <f aca="false">IF(B200="","",IF(Z200="مطابق",0,IF(Z200="مطابق، دوز مازاد",N(X200)*N(W200),(N(R200)-N(T200))*N(W200))))</f>
        <v/>
      </c>
      <c r="AC200" s="12"/>
      <c r="AD200" s="12"/>
      <c r="AE200" s="10" t="str">
        <f aca="false">IF(B200="","",IF(AND(N(AC200)&gt;0,NOT(OR(Z200="مطابق",Z200="مطابق، دوز مازاد"))),"ریسک کسورات",IF(AND(OR(Z200="مطابق",Z200="مطابق، دوز مازاد"),N(AC200)=0,D200&lt;&gt;"آزاد",D200&lt;&gt;""),"بررسی امکان دریافت از بیمه","")))</f>
        <v/>
      </c>
      <c r="AF200" s="11"/>
    </row>
    <row r="201" customFormat="false" ht="15" hidden="false" customHeight="false" outlineLevel="0" collapsed="false">
      <c r="A201" s="10" t="str">
        <f aca="false">IF(B201="","",ROW()-2)</f>
        <v/>
      </c>
      <c r="B201" s="11"/>
      <c r="C201" s="11"/>
      <c r="D201" s="11"/>
      <c r="E201" s="11"/>
      <c r="F201" s="11"/>
      <c r="G201" s="11"/>
      <c r="H201" s="10" t="str">
        <f aca="false">IF(G201="","",IFERROR(INDEX('اندیکاسیون‌ها'!$C$3:$C$22,MATCH(G201,'اندیکاسیون‌ها'!$A$3:$A$22,0)),"کد نامعتبر"))</f>
        <v/>
      </c>
      <c r="I201" s="10" t="str">
        <f aca="false">IF(G201="","",IFERROR(INDEX('اندیکاسیون‌ها'!$B$3:$B$22,MATCH(G201,'اندیکاسیون‌ها'!$A$3:$A$22,0)),""))</f>
        <v/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0" t="str">
        <f aca="false">IF(G201="","",IFERROR(INDEX('اندیکاسیون‌ها'!$F$3:$F$22,MATCH(G201,'اندیکاسیون‌ها'!$A$3:$A$22,0)),""))</f>
        <v/>
      </c>
      <c r="V201" s="11"/>
      <c r="W201" s="12"/>
      <c r="X201" s="10" t="str">
        <f aca="false">IF(OR(B201="",IF(V201&lt;&gt;"",V201,U201)=""),"",MAX(0,N(R201)-N(T201)-IF(V201&lt;&gt;"",V201,U201)))</f>
        <v/>
      </c>
      <c r="Y201" s="10" t="str">
        <f aca="false">IF(B201="","",N(R201)-N(S201)-N(T201))</f>
        <v/>
      </c>
      <c r="Z201" s="10" t="str">
        <f aca="false">IF(B201="","",IF(OR(G201="",G201="U0"),"اندیکاسیون نامشخص",IF(I201="بدون اندیکاسیون","بدون اندیکاسیون",IF(AND(I201="خارج از جدول",P201&lt;&gt;"بله"),"خارج از جدول بدون تأیید",IF(L201&lt;&gt;"بله","معیار مستند نشده",IF(N(X201)&gt;0,"مطابق، دوز مازاد","مطابق"))))))</f>
        <v/>
      </c>
      <c r="AA201" s="13" t="str">
        <f aca="false">IF(B201="","",IFERROR(COUNTIF(J201:Q201,"بله")/(COUNTIF(J201:Q201,"بله")+COUNTIF(J201:Q201,"خیر")),""))</f>
        <v/>
      </c>
      <c r="AB201" s="14" t="str">
        <f aca="false">IF(B201="","",IF(Z201="مطابق",0,IF(Z201="مطابق، دوز مازاد",N(X201)*N(W201),(N(R201)-N(T201))*N(W201))))</f>
        <v/>
      </c>
      <c r="AC201" s="12"/>
      <c r="AD201" s="12"/>
      <c r="AE201" s="10" t="str">
        <f aca="false">IF(B201="","",IF(AND(N(AC201)&gt;0,NOT(OR(Z201="مطابق",Z201="مطابق، دوز مازاد"))),"ریسک کسورات",IF(AND(OR(Z201="مطابق",Z201="مطابق، دوز مازاد"),N(AC201)=0,D201&lt;&gt;"آزاد",D201&lt;&gt;""),"بررسی امکان دریافت از بیمه","")))</f>
        <v/>
      </c>
      <c r="AF201" s="11"/>
    </row>
    <row r="202" customFormat="false" ht="15" hidden="false" customHeight="false" outlineLevel="0" collapsed="false">
      <c r="A202" s="10" t="str">
        <f aca="false">IF(B202="","",ROW()-2)</f>
        <v/>
      </c>
      <c r="B202" s="11"/>
      <c r="C202" s="11"/>
      <c r="D202" s="11"/>
      <c r="E202" s="11"/>
      <c r="F202" s="11"/>
      <c r="G202" s="11"/>
      <c r="H202" s="10" t="str">
        <f aca="false">IF(G202="","",IFERROR(INDEX('اندیکاسیون‌ها'!$C$3:$C$22,MATCH(G202,'اندیکاسیون‌ها'!$A$3:$A$22,0)),"کد نامعتبر"))</f>
        <v/>
      </c>
      <c r="I202" s="10" t="str">
        <f aca="false">IF(G202="","",IFERROR(INDEX('اندیکاسیون‌ها'!$B$3:$B$22,MATCH(G202,'اندیکاسیون‌ها'!$A$3:$A$22,0)),""))</f>
        <v/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0" t="str">
        <f aca="false">IF(G202="","",IFERROR(INDEX('اندیکاسیون‌ها'!$F$3:$F$22,MATCH(G202,'اندیکاسیون‌ها'!$A$3:$A$22,0)),""))</f>
        <v/>
      </c>
      <c r="V202" s="11"/>
      <c r="W202" s="12"/>
      <c r="X202" s="10" t="str">
        <f aca="false">IF(OR(B202="",IF(V202&lt;&gt;"",V202,U202)=""),"",MAX(0,N(R202)-N(T202)-IF(V202&lt;&gt;"",V202,U202)))</f>
        <v/>
      </c>
      <c r="Y202" s="10" t="str">
        <f aca="false">IF(B202="","",N(R202)-N(S202)-N(T202))</f>
        <v/>
      </c>
      <c r="Z202" s="10" t="str">
        <f aca="false">IF(B202="","",IF(OR(G202="",G202="U0"),"اندیکاسیون نامشخص",IF(I202="بدون اندیکاسیون","بدون اندیکاسیون",IF(AND(I202="خارج از جدول",P202&lt;&gt;"بله"),"خارج از جدول بدون تأیید",IF(L202&lt;&gt;"بله","معیار مستند نشده",IF(N(X202)&gt;0,"مطابق، دوز مازاد","مطابق"))))))</f>
        <v/>
      </c>
      <c r="AA202" s="13" t="str">
        <f aca="false">IF(B202="","",IFERROR(COUNTIF(J202:Q202,"بله")/(COUNTIF(J202:Q202,"بله")+COUNTIF(J202:Q202,"خیر")),""))</f>
        <v/>
      </c>
      <c r="AB202" s="14" t="str">
        <f aca="false">IF(B202="","",IF(Z202="مطابق",0,IF(Z202="مطابق، دوز مازاد",N(X202)*N(W202),(N(R202)-N(T202))*N(W202))))</f>
        <v/>
      </c>
      <c r="AC202" s="12"/>
      <c r="AD202" s="12"/>
      <c r="AE202" s="10" t="str">
        <f aca="false">IF(B202="","",IF(AND(N(AC202)&gt;0,NOT(OR(Z202="مطابق",Z202="مطابق، دوز مازاد"))),"ریسک کسورات",IF(AND(OR(Z202="مطابق",Z202="مطابق، دوز مازاد"),N(AC202)=0,D202&lt;&gt;"آزاد",D202&lt;&gt;""),"بررسی امکان دریافت از بیمه","")))</f>
        <v/>
      </c>
      <c r="AF202" s="11"/>
    </row>
  </sheetData>
  <dataValidations count="12">
    <dataValidation allowBlank="true" error="از فهرست انتخاب کنید" errorStyle="stop" errorTitle="مقدار نامعتبر" operator="between" showDropDown="false" showErrorMessage="false" showInputMessage="false" sqref="C3:C202" type="list">
      <formula1>'فهرست‌ها'!$A$1:$A$9</formula1>
      <formula2>0</formula2>
    </dataValidation>
    <dataValidation allowBlank="true" error="از فهرست انتخاب کنید" errorStyle="stop" errorTitle="مقدار نامعتبر" operator="between" showDropDown="false" showErrorMessage="false" showInputMessage="false" sqref="D3:D202" type="list">
      <formula1>'فهرست‌ها'!$B$1:$B$5</formula1>
      <formula2>0</formula2>
    </dataValidation>
    <dataValidation allowBlank="true" error="از فهرست انتخاب کنید" errorStyle="stop" errorTitle="مقدار نامعتبر" operator="between" showDropDown="false" showErrorMessage="false" showInputMessage="false" sqref="G3:G202" type="list">
      <formula1>'اندیکاسیون‌ها'!$A$3:$A$22</formula1>
      <formula2>0</formula2>
    </dataValidation>
    <dataValidation allowBlank="true" error="از فهرست انتخاب کنید" errorStyle="stop" errorTitle="مقدار نامعتبر" operator="between" showDropDown="false" showErrorMessage="false" showInputMessage="false" sqref="J3:J202" type="list">
      <formula1>'فهرست‌ها'!$C$1:$C$3</formula1>
      <formula2>0</formula2>
    </dataValidation>
    <dataValidation allowBlank="true" error="از فهرست انتخاب کنید" errorStyle="stop" errorTitle="مقدار نامعتبر" operator="between" showDropDown="false" showErrorMessage="false" showInputMessage="false" sqref="K3:K202" type="list">
      <formula1>'فهرست‌ها'!$C$1:$C$3</formula1>
      <formula2>0</formula2>
    </dataValidation>
    <dataValidation allowBlank="true" error="از فهرست انتخاب کنید" errorStyle="stop" errorTitle="مقدار نامعتبر" operator="between" showDropDown="false" showErrorMessage="false" showInputMessage="false" sqref="L3:L202" type="list">
      <formula1>'فهرست‌ها'!$C$1:$C$3</formula1>
      <formula2>0</formula2>
    </dataValidation>
    <dataValidation allowBlank="true" error="از فهرست انتخاب کنید" errorStyle="stop" errorTitle="مقدار نامعتبر" operator="between" showDropDown="false" showErrorMessage="false" showInputMessage="false" sqref="M3:M202" type="list">
      <formula1>'فهرست‌ها'!$C$1:$C$3</formula1>
      <formula2>0</formula2>
    </dataValidation>
    <dataValidation allowBlank="true" error="از فهرست انتخاب کنید" errorStyle="stop" errorTitle="مقدار نامعتبر" operator="between" showDropDown="false" showErrorMessage="false" showInputMessage="false" sqref="N3:N202" type="list">
      <formula1>'فهرست‌ها'!$C$1:$C$3</formula1>
      <formula2>0</formula2>
    </dataValidation>
    <dataValidation allowBlank="true" error="از فهرست انتخاب کنید" errorStyle="stop" errorTitle="مقدار نامعتبر" operator="between" showDropDown="false" showErrorMessage="false" showInputMessage="false" sqref="O3:O202" type="list">
      <formula1>'فهرست‌ها'!$C$1:$C$3</formula1>
      <formula2>0</formula2>
    </dataValidation>
    <dataValidation allowBlank="true" error="از فهرست انتخاب کنید" errorStyle="stop" errorTitle="مقدار نامعتبر" operator="between" showDropDown="false" showErrorMessage="false" showInputMessage="false" sqref="P3:P202" type="list">
      <formula1>'فهرست‌ها'!$C$1:$C$3</formula1>
      <formula2>0</formula2>
    </dataValidation>
    <dataValidation allowBlank="true" error="از فهرست انتخاب کنید" errorStyle="stop" errorTitle="مقدار نامعتبر" operator="between" showDropDown="false" showErrorMessage="false" showInputMessage="false" sqref="Q3:Q202" type="list">
      <formula1>'فهرست‌ها'!$C$1:$C$3</formula1>
      <formula2>0</formula2>
    </dataValidation>
    <dataValidation allowBlank="true" error="عدد صحیح صفر یا بیشتر" errorStyle="stop" operator="greaterThanOrEqual" showDropDown="false" showErrorMessage="false" showInputMessage="false" sqref="R3:T202 V3:V202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140</v>
      </c>
      <c r="B1" s="15" t="s">
        <v>141</v>
      </c>
      <c r="C1" s="15" t="s">
        <v>142</v>
      </c>
    </row>
    <row r="2" customFormat="false" ht="15" hidden="false" customHeight="false" outlineLevel="0" collapsed="false">
      <c r="A2" s="0" t="s">
        <v>143</v>
      </c>
      <c r="B2" s="15" t="s">
        <v>144</v>
      </c>
      <c r="C2" s="15" t="s">
        <v>145</v>
      </c>
    </row>
    <row r="3" customFormat="false" ht="15" hidden="false" customHeight="false" outlineLevel="0" collapsed="false">
      <c r="A3" s="0" t="s">
        <v>146</v>
      </c>
      <c r="B3" s="15" t="s">
        <v>147</v>
      </c>
      <c r="C3" s="15" t="s">
        <v>148</v>
      </c>
    </row>
    <row r="4" customFormat="false" ht="15" hidden="false" customHeight="false" outlineLevel="0" collapsed="false">
      <c r="A4" s="15" t="s">
        <v>149</v>
      </c>
      <c r="B4" s="15" t="s">
        <v>150</v>
      </c>
    </row>
    <row r="5" customFormat="false" ht="15" hidden="false" customHeight="false" outlineLevel="0" collapsed="false">
      <c r="A5" s="15" t="s">
        <v>151</v>
      </c>
      <c r="B5" s="15" t="s">
        <v>152</v>
      </c>
    </row>
    <row r="6" customFormat="false" ht="15" hidden="false" customHeight="false" outlineLevel="0" collapsed="false">
      <c r="A6" s="15" t="s">
        <v>153</v>
      </c>
    </row>
    <row r="7" customFormat="false" ht="15" hidden="false" customHeight="false" outlineLevel="0" collapsed="false">
      <c r="A7" s="15" t="s">
        <v>154</v>
      </c>
    </row>
    <row r="8" customFormat="false" ht="15" hidden="false" customHeight="false" outlineLevel="0" collapsed="false">
      <c r="A8" s="15" t="s">
        <v>155</v>
      </c>
    </row>
    <row r="9" customFormat="false" ht="15" hidden="false" customHeight="false" outlineLevel="0" collapsed="false">
      <c r="A9" s="15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6" t="s">
        <v>157</v>
      </c>
    </row>
    <row r="4" customFormat="false" ht="15" hidden="false" customHeight="false" outlineLevel="0" collapsed="false">
      <c r="A4" s="16" t="s">
        <v>158</v>
      </c>
      <c r="B4" s="17"/>
    </row>
    <row r="5" customFormat="false" ht="15" hidden="false" customHeight="false" outlineLevel="0" collapsed="false">
      <c r="A5" s="18" t="s">
        <v>159</v>
      </c>
      <c r="B5" s="19" t="n">
        <f aca="false">COUNTA(ممیزی!$B$3:$B$202)</f>
        <v>0</v>
      </c>
    </row>
    <row r="7" customFormat="false" ht="15" hidden="false" customHeight="false" outlineLevel="0" collapsed="false">
      <c r="A7" s="16" t="s">
        <v>160</v>
      </c>
      <c r="B7" s="17"/>
      <c r="C7" s="20" t="s">
        <v>161</v>
      </c>
    </row>
    <row r="8" customFormat="false" ht="15" hidden="false" customHeight="false" outlineLevel="0" collapsed="false">
      <c r="A8" s="8" t="s">
        <v>162</v>
      </c>
      <c r="B8" s="21" t="n">
        <f aca="false">COUNTIF(ممیزی!$Z$3:$Z$202,"مطابق")</f>
        <v>0</v>
      </c>
      <c r="C8" s="22" t="n">
        <f aca="false">IFERROR(B8/B5,0)</f>
        <v>0</v>
      </c>
    </row>
    <row r="9" customFormat="false" ht="15" hidden="false" customHeight="false" outlineLevel="0" collapsed="false">
      <c r="A9" s="8" t="s">
        <v>163</v>
      </c>
      <c r="B9" s="21" t="n">
        <f aca="false">COUNTIF(ممیزی!$Z$3:$Z$202,"مطابق، دوز مازاد")</f>
        <v>0</v>
      </c>
      <c r="C9" s="22" t="n">
        <f aca="false">IFERROR(B9/B5,0)</f>
        <v>0</v>
      </c>
    </row>
    <row r="10" customFormat="false" ht="15" hidden="false" customHeight="false" outlineLevel="0" collapsed="false">
      <c r="A10" s="8" t="s">
        <v>164</v>
      </c>
      <c r="B10" s="21" t="n">
        <f aca="false">COUNTIF(ممیزی!$Z$3:$Z$202,"معیار مستند نشده")</f>
        <v>0</v>
      </c>
      <c r="C10" s="22" t="n">
        <f aca="false">IFERROR(B10/B5,0)</f>
        <v>0</v>
      </c>
    </row>
    <row r="11" customFormat="false" ht="15" hidden="false" customHeight="false" outlineLevel="0" collapsed="false">
      <c r="A11" s="8" t="s">
        <v>82</v>
      </c>
      <c r="B11" s="21" t="n">
        <f aca="false">COUNTIF(ممیزی!$Z$3:$Z$202,"بدون اندیکاسیون")</f>
        <v>0</v>
      </c>
      <c r="C11" s="22" t="n">
        <f aca="false">IFERROR(B11/B5,0)</f>
        <v>0</v>
      </c>
    </row>
    <row r="12" customFormat="false" ht="15" hidden="false" customHeight="false" outlineLevel="0" collapsed="false">
      <c r="A12" s="8" t="s">
        <v>165</v>
      </c>
      <c r="B12" s="21" t="n">
        <f aca="false">COUNTIF(ممیزی!$Z$3:$Z$202,"خارج از جدول بدون تأیید")</f>
        <v>0</v>
      </c>
      <c r="C12" s="22" t="n">
        <f aca="false">IFERROR(B12/B5,0)</f>
        <v>0</v>
      </c>
    </row>
    <row r="13" customFormat="false" ht="15" hidden="false" customHeight="false" outlineLevel="0" collapsed="false">
      <c r="A13" s="8" t="s">
        <v>166</v>
      </c>
      <c r="B13" s="21" t="n">
        <f aca="false">COUNTIF(ممیزی!$Z$3:$Z$202,"اندیکاسیون نامشخص")</f>
        <v>0</v>
      </c>
      <c r="C13" s="22" t="n">
        <f aca="false">IFERROR(B13/B5,0)</f>
        <v>0</v>
      </c>
    </row>
    <row r="14" customFormat="false" ht="15" hidden="false" customHeight="false" outlineLevel="0" collapsed="false">
      <c r="A14" s="18" t="s">
        <v>167</v>
      </c>
      <c r="B14" s="23" t="n">
        <f aca="false">IFERROR((B8+B9)/B5,0)</f>
        <v>0</v>
      </c>
    </row>
    <row r="16" customFormat="false" ht="15" hidden="false" customHeight="false" outlineLevel="0" collapsed="false">
      <c r="A16" s="16" t="s">
        <v>168</v>
      </c>
      <c r="B16" s="17"/>
    </row>
    <row r="17" customFormat="false" ht="15" hidden="false" customHeight="false" outlineLevel="0" collapsed="false">
      <c r="A17" s="8" t="s">
        <v>169</v>
      </c>
      <c r="B17" s="24" t="n">
        <f aca="false">SUM(ممیزی!$R$3:$R$202)</f>
        <v>0</v>
      </c>
    </row>
    <row r="18" customFormat="false" ht="15" hidden="false" customHeight="false" outlineLevel="0" collapsed="false">
      <c r="A18" s="8" t="s">
        <v>170</v>
      </c>
      <c r="B18" s="24" t="n">
        <f aca="false">SUM(ممیزی!$S$3:$S$202)</f>
        <v>0</v>
      </c>
    </row>
    <row r="19" customFormat="false" ht="15" hidden="false" customHeight="false" outlineLevel="0" collapsed="false">
      <c r="A19" s="8" t="s">
        <v>127</v>
      </c>
      <c r="B19" s="24" t="n">
        <f aca="false">SUM(ممیزی!$T$3:$T$202)</f>
        <v>0</v>
      </c>
    </row>
    <row r="20" customFormat="false" ht="15" hidden="false" customHeight="false" outlineLevel="0" collapsed="false">
      <c r="A20" s="18" t="s">
        <v>171</v>
      </c>
      <c r="B20" s="25" t="n">
        <f aca="false">SUM(ممیزی!$Y$3:$Y$202)</f>
        <v>0</v>
      </c>
    </row>
    <row r="21" customFormat="false" ht="15" hidden="false" customHeight="false" outlineLevel="0" collapsed="false">
      <c r="A21" s="8" t="s">
        <v>172</v>
      </c>
      <c r="B21" s="24" t="n">
        <f aca="false">SUMIF(ممیزی!$Z$3:$Z$202,"مطابق، دوز مازاد",ممیزی!$X$3:$X$202)</f>
        <v>0</v>
      </c>
    </row>
    <row r="22" customFormat="false" ht="15" hidden="false" customHeight="false" outlineLevel="0" collapsed="false">
      <c r="A22" s="18" t="s">
        <v>135</v>
      </c>
      <c r="B22" s="25" t="n">
        <f aca="false">SUM(ممیزی!$AB$3:$AB$202)</f>
        <v>0</v>
      </c>
    </row>
    <row r="23" customFormat="false" ht="15" hidden="false" customHeight="false" outlineLevel="0" collapsed="false">
      <c r="A23" s="8" t="s">
        <v>173</v>
      </c>
      <c r="B23" s="26" t="n">
        <f aca="false">IFERROR(AVERAGE(ممیزی!$AA$3:$AA$202),0)</f>
        <v>0</v>
      </c>
    </row>
    <row r="25" customFormat="false" ht="15" hidden="false" customHeight="false" outlineLevel="0" collapsed="false">
      <c r="A25" s="16" t="s">
        <v>174</v>
      </c>
      <c r="B25" s="17"/>
    </row>
    <row r="26" customFormat="false" ht="15" hidden="false" customHeight="false" outlineLevel="0" collapsed="false">
      <c r="A26" s="8" t="s">
        <v>117</v>
      </c>
      <c r="B26" s="26" t="n">
        <f aca="false">IFERROR(COUNTIF(ممیزی!$J$3:$J$202,"بله")/(COUNTIF(ممیزی!$J$3:$J$202,"بله")+COUNTIF(ممیزی!$J$3:$J$202,"خیر")),0)</f>
        <v>0</v>
      </c>
    </row>
    <row r="27" customFormat="false" ht="15" hidden="false" customHeight="false" outlineLevel="0" collapsed="false">
      <c r="A27" s="8" t="s">
        <v>118</v>
      </c>
      <c r="B27" s="26" t="n">
        <f aca="false">IFERROR(COUNTIF(ممیزی!$K$3:$K$202,"بله")/(COUNTIF(ممیزی!$K$3:$K$202,"بله")+COUNTIF(ممیزی!$K$3:$K$202,"خیر")),0)</f>
        <v>0</v>
      </c>
    </row>
    <row r="28" customFormat="false" ht="15" hidden="false" customHeight="false" outlineLevel="0" collapsed="false">
      <c r="A28" s="8" t="s">
        <v>119</v>
      </c>
      <c r="B28" s="26" t="n">
        <f aca="false">IFERROR(COUNTIF(ممیزی!$L$3:$L$202,"بله")/(COUNTIF(ممیزی!$L$3:$L$202,"بله")+COUNTIF(ممیزی!$L$3:$L$202,"خیر")),0)</f>
        <v>0</v>
      </c>
    </row>
    <row r="29" customFormat="false" ht="15" hidden="false" customHeight="false" outlineLevel="0" collapsed="false">
      <c r="A29" s="8" t="s">
        <v>120</v>
      </c>
      <c r="B29" s="26" t="n">
        <f aca="false">IFERROR(COUNTIF(ممیزی!$M$3:$M$202,"بله")/(COUNTIF(ممیزی!$M$3:$M$202,"بله")+COUNTIF(ممیزی!$M$3:$M$202,"خیر")),0)</f>
        <v>0</v>
      </c>
    </row>
    <row r="30" customFormat="false" ht="15" hidden="false" customHeight="false" outlineLevel="0" collapsed="false">
      <c r="A30" s="8" t="s">
        <v>121</v>
      </c>
      <c r="B30" s="26" t="n">
        <f aca="false">IFERROR(COUNTIF(ممیزی!$N$3:$N$202,"بله")/(COUNTIF(ممیزی!$N$3:$N$202,"بله")+COUNTIF(ممیزی!$N$3:$N$202,"خیر")),0)</f>
        <v>0</v>
      </c>
    </row>
    <row r="31" customFormat="false" ht="15" hidden="false" customHeight="false" outlineLevel="0" collapsed="false">
      <c r="A31" s="8" t="s">
        <v>122</v>
      </c>
      <c r="B31" s="26" t="n">
        <f aca="false">IFERROR(COUNTIF(ممیزی!$O$3:$O$202,"بله")/(COUNTIF(ممیزی!$O$3:$O$202,"بله")+COUNTIF(ممیزی!$O$3:$O$202,"خیر")),0)</f>
        <v>0</v>
      </c>
    </row>
    <row r="32" customFormat="false" ht="15" hidden="false" customHeight="false" outlineLevel="0" collapsed="false">
      <c r="A32" s="8" t="s">
        <v>123</v>
      </c>
      <c r="B32" s="26" t="n">
        <f aca="false">IFERROR(COUNTIF(ممیزی!$P$3:$P$202,"بله")/(COUNTIF(ممیزی!$P$3:$P$202,"بله")+COUNTIF(ممیزی!$P$3:$P$202,"خیر")),0)</f>
        <v>0</v>
      </c>
    </row>
    <row r="33" customFormat="false" ht="15" hidden="false" customHeight="false" outlineLevel="0" collapsed="false">
      <c r="A33" s="8" t="s">
        <v>124</v>
      </c>
      <c r="B33" s="26" t="n">
        <f aca="false">IFERROR(COUNTIF(ممیزی!$Q$3:$Q$202,"بله")/(COUNTIF(ممیزی!$Q$3:$Q$202,"بله")+COUNTIF(ممیزی!$Q$3:$Q$202,"خیر")),0)</f>
        <v>0</v>
      </c>
    </row>
    <row r="35" customFormat="false" ht="15" hidden="false" customHeight="false" outlineLevel="0" collapsed="false">
      <c r="A35" s="16" t="s">
        <v>175</v>
      </c>
      <c r="B35" s="17"/>
    </row>
    <row r="36" customFormat="false" ht="15" hidden="false" customHeight="false" outlineLevel="0" collapsed="false">
      <c r="A36" s="8" t="s">
        <v>176</v>
      </c>
      <c r="B36" s="21" t="n">
        <f aca="false">COUNTIF(ممیزی!$AE$3:$AE$202,"ریسک کسورات")</f>
        <v>0</v>
      </c>
    </row>
    <row r="37" customFormat="false" ht="15" hidden="false" customHeight="false" outlineLevel="0" collapsed="false">
      <c r="A37" s="8" t="s">
        <v>177</v>
      </c>
      <c r="B37" s="21" t="n">
        <f aca="false">COUNTIF(ممیزی!$AE$3:$AE$202,"بررسی امکان دریافت از بیمه")</f>
        <v>0</v>
      </c>
    </row>
    <row r="38" customFormat="false" ht="15" hidden="false" customHeight="false" outlineLevel="0" collapsed="false">
      <c r="A38" s="8" t="s">
        <v>178</v>
      </c>
      <c r="B38" s="24" t="n">
        <f aca="false">SUM(ممیزی!$AC$3:$AC$202)</f>
        <v>0</v>
      </c>
    </row>
    <row r="39" customFormat="false" ht="15" hidden="false" customHeight="false" outlineLevel="0" collapsed="false">
      <c r="A39" s="8" t="s">
        <v>179</v>
      </c>
      <c r="B39" s="24" t="n">
        <f aca="false">SUM(ممیزی!$AD$3:$AD$202)</f>
        <v>0</v>
      </c>
    </row>
    <row r="41" customFormat="false" ht="15" hidden="false" customHeight="false" outlineLevel="0" collapsed="false">
      <c r="A41" s="16" t="s">
        <v>180</v>
      </c>
      <c r="B41" s="17"/>
    </row>
    <row r="42" customFormat="false" ht="15" hidden="false" customHeight="false" outlineLevel="0" collapsed="false">
      <c r="A42" s="27" t="s">
        <v>112</v>
      </c>
      <c r="B42" s="27" t="s">
        <v>181</v>
      </c>
      <c r="C42" s="27" t="s">
        <v>182</v>
      </c>
      <c r="D42" s="27" t="s">
        <v>183</v>
      </c>
      <c r="E42" s="27" t="s">
        <v>184</v>
      </c>
      <c r="F42" s="27" t="s">
        <v>171</v>
      </c>
    </row>
    <row r="43" customFormat="false" ht="15" hidden="false" customHeight="false" outlineLevel="0" collapsed="false">
      <c r="A43" s="28" t="s">
        <v>140</v>
      </c>
      <c r="B43" s="28" t="n">
        <f aca="false">COUNTIF(ممیزی!$C$3:$C$202,"ICU")</f>
        <v>0</v>
      </c>
      <c r="C43" s="28" t="n">
        <f aca="false">COUNTIFS(ممیزی!$C$3:$C$202,"ICU",ممیزی!$Z$3:$Z$202,"مطابق")+COUNTIFS(ممیزی!$C$3:$C$202,"ICU",ممیزی!$Z$3:$Z$202,"مطابق، دوز مازاد")</f>
        <v>0</v>
      </c>
      <c r="D43" s="29" t="n">
        <f aca="false">IFERROR(C43/B43,0)</f>
        <v>0</v>
      </c>
      <c r="E43" s="24" t="n">
        <f aca="false">SUMIF(ممیزی!$C$3:$C$202,"ICU",ممیزی!$AB$3:$AB$202)</f>
        <v>0</v>
      </c>
      <c r="F43" s="24" t="n">
        <f aca="false">SUMIF(ممیزی!$C$3:$C$202,"ICU",ممیزی!$Y$3:$Y$202)</f>
        <v>0</v>
      </c>
    </row>
    <row r="44" customFormat="false" ht="15" hidden="false" customHeight="false" outlineLevel="0" collapsed="false">
      <c r="A44" s="28" t="s">
        <v>143</v>
      </c>
      <c r="B44" s="28" t="n">
        <f aca="false">COUNTIF(ممیزی!$C$3:$C$202,"I.C.U OH")</f>
        <v>0</v>
      </c>
      <c r="C44" s="28" t="n">
        <f aca="false">COUNTIFS(ممیزی!$C$3:$C$202,"I.C.U OH",ممیزی!$Z$3:$Z$202,"مطابق")+COUNTIFS(ممیزی!$C$3:$C$202,"I.C.U OH",ممیزی!$Z$3:$Z$202,"مطابق، دوز مازاد")</f>
        <v>0</v>
      </c>
      <c r="D44" s="29" t="n">
        <f aca="false">IFERROR(C44/B44,0)</f>
        <v>0</v>
      </c>
      <c r="E44" s="24" t="n">
        <f aca="false">SUMIF(ممیزی!$C$3:$C$202,"I.C.U OH",ممیزی!$AB$3:$AB$202)</f>
        <v>0</v>
      </c>
      <c r="F44" s="24" t="n">
        <f aca="false">SUMIF(ممیزی!$C$3:$C$202,"I.C.U OH",ممیزی!$Y$3:$Y$202)</f>
        <v>0</v>
      </c>
    </row>
    <row r="45" customFormat="false" ht="15" hidden="false" customHeight="false" outlineLevel="0" collapsed="false">
      <c r="A45" s="28" t="s">
        <v>146</v>
      </c>
      <c r="B45" s="28" t="n">
        <f aca="false">COUNTIF(ممیزی!$C$3:$C$202,"C.C.U")</f>
        <v>0</v>
      </c>
      <c r="C45" s="28" t="n">
        <f aca="false">COUNTIFS(ممیزی!$C$3:$C$202,"C.C.U",ممیزی!$Z$3:$Z$202,"مطابق")+COUNTIFS(ممیزی!$C$3:$C$202,"C.C.U",ممیزی!$Z$3:$Z$202,"مطابق، دوز مازاد")</f>
        <v>0</v>
      </c>
      <c r="D45" s="29" t="n">
        <f aca="false">IFERROR(C45/B45,0)</f>
        <v>0</v>
      </c>
      <c r="E45" s="24" t="n">
        <f aca="false">SUMIF(ممیزی!$C$3:$C$202,"C.C.U",ممیزی!$AB$3:$AB$202)</f>
        <v>0</v>
      </c>
      <c r="F45" s="24" t="n">
        <f aca="false">SUMIF(ممیزی!$C$3:$C$202,"C.C.U",ممیزی!$Y$3:$Y$202)</f>
        <v>0</v>
      </c>
    </row>
    <row r="46" customFormat="false" ht="15" hidden="false" customHeight="false" outlineLevel="0" collapsed="false">
      <c r="A46" s="28" t="s">
        <v>185</v>
      </c>
      <c r="B46" s="28" t="n">
        <f aca="false">COUNTIF(ممیزی!$C$3:$C$202,"بخش 2")</f>
        <v>0</v>
      </c>
      <c r="C46" s="28" t="n">
        <f aca="false">COUNTIFS(ممیزی!$C$3:$C$202,"بخش 2",ممیزی!$Z$3:$Z$202,"مطابق")+COUNTIFS(ممیزی!$C$3:$C$202,"بخش 2",ممیزی!$Z$3:$Z$202,"مطابق، دوز مازاد")</f>
        <v>0</v>
      </c>
      <c r="D46" s="29" t="n">
        <f aca="false">IFERROR(C46/B46,0)</f>
        <v>0</v>
      </c>
      <c r="E46" s="24" t="n">
        <f aca="false">SUMIF(ممیزی!$C$3:$C$202,"بخش 2",ممیزی!$AB$3:$AB$202)</f>
        <v>0</v>
      </c>
      <c r="F46" s="24" t="n">
        <f aca="false">SUMIF(ممیزی!$C$3:$C$202,"بخش 2",ممیزی!$Y$3:$Y$202)</f>
        <v>0</v>
      </c>
    </row>
    <row r="47" customFormat="false" ht="15" hidden="false" customHeight="false" outlineLevel="0" collapsed="false">
      <c r="A47" s="28" t="s">
        <v>186</v>
      </c>
      <c r="B47" s="28" t="n">
        <f aca="false">COUNTIF(ممیزی!$C$3:$C$202,"بخش 3A")</f>
        <v>0</v>
      </c>
      <c r="C47" s="28" t="n">
        <f aca="false">COUNTIFS(ممیزی!$C$3:$C$202,"بخش 3A",ممیزی!$Z$3:$Z$202,"مطابق")+COUNTIFS(ممیزی!$C$3:$C$202,"بخش 3A",ممیزی!$Z$3:$Z$202,"مطابق، دوز مازاد")</f>
        <v>0</v>
      </c>
      <c r="D47" s="29" t="n">
        <f aca="false">IFERROR(C47/B47,0)</f>
        <v>0</v>
      </c>
      <c r="E47" s="24" t="n">
        <f aca="false">SUMIF(ممیزی!$C$3:$C$202,"بخش 3A",ممیزی!$AB$3:$AB$202)</f>
        <v>0</v>
      </c>
      <c r="F47" s="24" t="n">
        <f aca="false">SUMIF(ممیزی!$C$3:$C$202,"بخش 3A",ممیزی!$Y$3:$Y$202)</f>
        <v>0</v>
      </c>
    </row>
    <row r="48" customFormat="false" ht="15" hidden="false" customHeight="false" outlineLevel="0" collapsed="false">
      <c r="A48" s="28" t="s">
        <v>187</v>
      </c>
      <c r="B48" s="28" t="n">
        <f aca="false">COUNTIF(ممیزی!$C$3:$C$202,"بخش 3B")</f>
        <v>0</v>
      </c>
      <c r="C48" s="28" t="n">
        <f aca="false">COUNTIFS(ممیزی!$C$3:$C$202,"بخش 3B",ممیزی!$Z$3:$Z$202,"مطابق")+COUNTIFS(ممیزی!$C$3:$C$202,"بخش 3B",ممیزی!$Z$3:$Z$202,"مطابق، دوز مازاد")</f>
        <v>0</v>
      </c>
      <c r="D48" s="29" t="n">
        <f aca="false">IFERROR(C48/B48,0)</f>
        <v>0</v>
      </c>
      <c r="E48" s="24" t="n">
        <f aca="false">SUMIF(ممیزی!$C$3:$C$202,"بخش 3B",ممیزی!$AB$3:$AB$202)</f>
        <v>0</v>
      </c>
      <c r="F48" s="24" t="n">
        <f aca="false">SUMIF(ممیزی!$C$3:$C$202,"بخش 3B",ممیزی!$Y$3:$Y$202)</f>
        <v>0</v>
      </c>
    </row>
    <row r="49" customFormat="false" ht="15" hidden="false" customHeight="false" outlineLevel="0" collapsed="false">
      <c r="A49" s="28" t="s">
        <v>188</v>
      </c>
      <c r="B49" s="28" t="n">
        <f aca="false">COUNTIF(ممیزی!$C$3:$C$202,"بخش 4A")</f>
        <v>0</v>
      </c>
      <c r="C49" s="28" t="n">
        <f aca="false">COUNTIFS(ممیزی!$C$3:$C$202,"بخش 4A",ممیزی!$Z$3:$Z$202,"مطابق")+COUNTIFS(ممیزی!$C$3:$C$202,"بخش 4A",ممیزی!$Z$3:$Z$202,"مطابق، دوز مازاد")</f>
        <v>0</v>
      </c>
      <c r="D49" s="29" t="n">
        <f aca="false">IFERROR(C49/B49,0)</f>
        <v>0</v>
      </c>
      <c r="E49" s="24" t="n">
        <f aca="false">SUMIF(ممیزی!$C$3:$C$202,"بخش 4A",ممیزی!$AB$3:$AB$202)</f>
        <v>0</v>
      </c>
      <c r="F49" s="24" t="n">
        <f aca="false">SUMIF(ممیزی!$C$3:$C$202,"بخش 4A",ممیزی!$Y$3:$Y$202)</f>
        <v>0</v>
      </c>
    </row>
    <row r="50" customFormat="false" ht="15" hidden="false" customHeight="false" outlineLevel="0" collapsed="false">
      <c r="A50" s="28" t="s">
        <v>189</v>
      </c>
      <c r="B50" s="28" t="n">
        <f aca="false">COUNTIF(ممیزی!$C$3:$C$202,"بخش 4B")</f>
        <v>0</v>
      </c>
      <c r="C50" s="28" t="n">
        <f aca="false">COUNTIFS(ممیزی!$C$3:$C$202,"بخش 4B",ممیزی!$Z$3:$Z$202,"مطابق")+COUNTIFS(ممیزی!$C$3:$C$202,"بخش 4B",ممیزی!$Z$3:$Z$202,"مطابق، دوز مازاد")</f>
        <v>0</v>
      </c>
      <c r="D50" s="29" t="n">
        <f aca="false">IFERROR(C50/B50,0)</f>
        <v>0</v>
      </c>
      <c r="E50" s="24" t="n">
        <f aca="false">SUMIF(ممیزی!$C$3:$C$202,"بخش 4B",ممیزی!$AB$3:$AB$202)</f>
        <v>0</v>
      </c>
      <c r="F50" s="24" t="n">
        <f aca="false">SUMIF(ممیزی!$C$3:$C$202,"بخش 4B",ممیزی!$Y$3:$Y$202)</f>
        <v>0</v>
      </c>
    </row>
    <row r="51" customFormat="false" ht="15" hidden="false" customHeight="false" outlineLevel="0" collapsed="false">
      <c r="A51" s="28" t="s">
        <v>156</v>
      </c>
      <c r="B51" s="28" t="n">
        <f aca="false">COUNTIF(ممیزی!$C$3:$C$202,"سایر")</f>
        <v>0</v>
      </c>
      <c r="C51" s="28" t="n">
        <f aca="false">COUNTIFS(ممیزی!$C$3:$C$202,"سایر",ممیزی!$Z$3:$Z$202,"مطابق")+COUNTIFS(ممیزی!$C$3:$C$202,"سایر",ممیزی!$Z$3:$Z$202,"مطابق، دوز مازاد")</f>
        <v>0</v>
      </c>
      <c r="D51" s="29" t="n">
        <f aca="false">IFERROR(C51/B51,0)</f>
        <v>0</v>
      </c>
      <c r="E51" s="24" t="n">
        <f aca="false">SUMIF(ممیزی!$C$3:$C$202,"سایر",ممیزی!$AB$3:$AB$202)</f>
        <v>0</v>
      </c>
      <c r="F51" s="24" t="n">
        <f aca="false">SUMIF(ممیزی!$C$3:$C$202,"سایر",ممیزی!$Y$3:$Y$202)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2026-10-16T20:46:52Z</dcterms:created>
  <dc:creator>openpyxl</dc:creator>
  <dc:description/>
  <dc:language>en-US</dc:language>
  <cp:lastModifiedBy/>
  <dcterms:modified xsi:type="dcterms:W3CDTF">2026-10-16T20:46:52Z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