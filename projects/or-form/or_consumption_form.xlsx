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پارامترها" sheetId="2" state="visible" r:id="rId4"/>
    <sheet name="ثبت روزانه" sheetId="3" state="visible" r:id="rId5"/>
    <sheet name="فهرست" sheetId="4" state="hidden" r:id="rId6"/>
    <sheet name="خلاصه" sheetId="5" state="visible" r:id="rId7"/>
  </sheets>
  <definedNames>
    <definedName function="false" hidden="false" localSheetId="2" name="_xlnm.Print_Titles" vbProcedure="false">'ثبت روزانه'!$3:$3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" authorId="0">
      <text>
        <r>
          <rPr>
            <sz val="10"/>
            <rFont val="FreeSans"/>
            <family val="2"/>
          </rPr>
          <t xml:space="preserve">همین عدد (حداکثر ۵ جفت) در </t>
        </r>
        <r>
          <rPr>
            <sz val="10"/>
            <rFont val="Arial"/>
            <family val="2"/>
          </rPr>
          <t xml:space="preserve">HIS </t>
        </r>
        <r>
          <rPr>
            <sz val="10"/>
            <rFont val="FreeSans"/>
            <family val="2"/>
          </rPr>
          <t xml:space="preserve">ثبت شود</t>
        </r>
        <r>
          <rPr>
            <sz val="10"/>
            <rFont val="Arial"/>
            <family val="2"/>
          </rPr>
          <t xml:space="preserve">.</t>
        </r>
      </text>
    </comment>
    <comment ref="L3" authorId="0">
      <text>
        <r>
          <rPr>
            <sz val="10"/>
            <rFont val="FreeSans"/>
            <family val="2"/>
          </rPr>
          <t xml:space="preserve">مازاد بر ۵ جفت در </t>
        </r>
        <r>
          <rPr>
            <sz val="10"/>
            <rFont val="Arial"/>
            <family val="2"/>
          </rPr>
          <t xml:space="preserve">HIS </t>
        </r>
        <r>
          <rPr>
            <sz val="10"/>
            <rFont val="FreeSans"/>
            <family val="2"/>
          </rPr>
          <t xml:space="preserve">ثبت نشود؛ بیمه آن را کسر می‌کند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<sst xmlns="http://schemas.openxmlformats.org/spreadsheetml/2006/main" count="75" uniqueCount="69">
  <si>
    <t xml:space="preserve">راهنمای فرم ثبت دستکش و اقلام قابل دریافت اتاق عمل</t>
  </si>
  <si>
    <t xml:space="preserve">چرا این فرم؟</t>
  </si>
  <si>
    <t xml:space="preserve">دستکش معاینه در اتاق عمل تا ۵ جفت برای هر عمل قابل دریافت از بیمه است. در فروردین تا شهریور ۱۴۰۵، ۵۹٬۰۰۰ عدد دستکش معاینه به اتاق عمل رفته و هیچ‌کدام روی پرونده ثبت نشده است.</t>
  </si>
  <si>
    <t xml:space="preserve">چه کسی، چه زمانی</t>
  </si>
  <si>
    <t xml:space="preserve">• پرستار سیار در پایان هر عمل تعداد جفت دستکش معاینه نیتریل و وینیل را که جدا از پک باز شده می‌نویسد.</t>
  </si>
  <si>
    <t xml:space="preserve">• منشی یا پرستار سیار «قابل ثبت (جفت)» را (حداکثر ۵ جفت) همان روز در HIS روی پرونده ثبت می‌کند و ستون «ثبت در HIS» را «بله» می‌زند.</t>
  </si>
  <si>
    <t xml:space="preserve">• سرپرستار اتاق عمل هر روز ردیف‌های قرمز («ثبت نشده در HIS») را پیگیری می‌کند.</t>
  </si>
  <si>
    <t xml:space="preserve">• ناظر دارویی هر هفته برگه «خلاصه» را بررسی و نتیجه را در گزارش دوشنبه می‌آورد.</t>
  </si>
  <si>
    <t xml:space="preserve">قواعد</t>
  </si>
  <si>
    <t xml:space="preserve">• دستکش داخل پک جنرال یا پک اعمال جراحی نوشته نشود؛ پک جزء فنی اتاق عمل است و جداگانه قابل دریافت نیست.</t>
  </si>
  <si>
    <t xml:space="preserve">• دستکش جراحی استریل جزو این فرم نیست و طبق روال فعلی ثبت می‌شود.</t>
  </si>
  <si>
    <t xml:space="preserve">• بیش از ۵ جفت در HIS ثبت نشود. مصرف واقعی بیشتر از ۵ جفت را در فرم بنویسید تا مصرف واقعی معلوم باشد، ولی در HIS فقط ۵ جفت ثبت کنید.</t>
  </si>
  <si>
    <t xml:space="preserve">• چسب، سرنگ و گاز هم اگر خارج از پک مصرف شود در اتاق عمل قابل دریافت است و سقف ندارد؛ تعداد را بنویسید و همان تعداد را در HIS ثبت کنید. گاز را به «بسته ۵ عددی گاز استریل ۱۰×۱۰» بنویسید.</t>
  </si>
  <si>
    <t xml:space="preserve">نمونه یک ردیف (در برگه ثبت وارد نکنید)</t>
  </si>
  <si>
    <t xml:space="preserve">1405/08/03 | پرونده 512340 | اتاق 2 | کوله‌سیستکتومی لاپاراسکوپیک | نیتریل 4 جفت | وینیل 2 جفت → جمع 6، قابل ثبت 5، مازاد 1 | چسب 2، سرنگ 3، گاز 1 بسته | ثبت در HIS: بله → وضعیت «ثبت‌شده؛ مازاد بر سقف»</t>
  </si>
  <si>
    <t xml:space="preserve">راهنمای رنگ: زرد = ورود داده | آبی = محاسبه خودکار | قرمز = نیاز به پیگیری</t>
  </si>
  <si>
    <t xml:space="preserve">پارامترهای فرم</t>
  </si>
  <si>
    <t xml:space="preserve">پارامتر</t>
  </si>
  <si>
    <t xml:space="preserve">مقدار</t>
  </si>
  <si>
    <t xml:space="preserve">منبع</t>
  </si>
  <si>
    <t xml:space="preserve">سقف دستکش معاینه قابل ثبت برای هر عمل (جفت)</t>
  </si>
  <si>
    <t xml:space="preserve">جزوه هتلینگ ۱۴۰۵ دانشگاه علوم پزشکی ایران؛ «برای هر عمل» به تأیید ناظر دارویی</t>
  </si>
  <si>
    <t xml:space="preserve">قیمت فروش هر عدد دستکش نیتریل (ریال)</t>
  </si>
  <si>
    <t xml:space="preserve">آخرین قیمت فروش در گزارش HIS شهریور ۱۴۰۵؛ با تعرفه مصوب جایگزین شود</t>
  </si>
  <si>
    <t xml:space="preserve">قیمت فروش هر عدد دستکش وینیل (ریال)</t>
  </si>
  <si>
    <t xml:space="preserve">قیمت فروش هر واحد چسب (ریال)</t>
  </si>
  <si>
    <t xml:space="preserve">مرجع: چسب حصیری ۱۰×۱۰ نوافیکس (کد ۱۱۵۶۸۳)، پرمصرف‌ترین چسب؛ آخرین قیمت فروش HIS ۱۴۰۵</t>
  </si>
  <si>
    <t xml:space="preserve">قیمت فروش هر سرنگ (ریال)</t>
  </si>
  <si>
    <t xml:space="preserve">مرجع: سرنگ ۱۰ سی‌سی ویمد (کد ۱۱۹۱۹۴)، پرمصرف‌ترین سرنگ؛ ۵ سی‌سی ۷۸٬۰۱۲ و ۲ سی‌سی ۷۰٬۹۲۱ ریال</t>
  </si>
  <si>
    <t xml:space="preserve">قیمت فروش هر بسته گاز (ریال)</t>
  </si>
  <si>
    <t xml:space="preserve">مرجع: گاز ساده استریل ۱۰×۱۰ دولایه، بسته ۵ عددی (کد ۱۲۹۷۱۷)؛ آخرین قیمت فروش HIS ۱۴۰۵</t>
  </si>
  <si>
    <t xml:space="preserve">فرم ثبت مصرف دستکش معاینه و اقلام قابل دریافت — اتاق عمل بیمارستان جم</t>
  </si>
  <si>
    <t xml:space="preserve">هر ردیف یک عمل. دستکش‌های داخل پک جنرال یا پک اعمال جراحی را ننویسید؛ فقط دستکش معاینه‌ای که جدا از پک باز شده است. سلول‌های زرد را پر کنید.</t>
  </si>
  <si>
    <t xml:space="preserve">ردیف</t>
  </si>
  <si>
    <t xml:space="preserve">تاریخ عمل</t>
  </si>
  <si>
    <t xml:space="preserve">شماره پرونده</t>
  </si>
  <si>
    <t xml:space="preserve">شماره اتاق</t>
  </si>
  <si>
    <t xml:space="preserve">نام عمل</t>
  </si>
  <si>
    <t xml:space="preserve">جراح</t>
  </si>
  <si>
    <t xml:space="preserve">پرستار سیار</t>
  </si>
  <si>
    <t xml:space="preserve">دستکش نیتریل (جفت)</t>
  </si>
  <si>
    <t xml:space="preserve">دستکش وینیل (جفت)</t>
  </si>
  <si>
    <t xml:space="preserve">جمع دستکش (جفت)</t>
  </si>
  <si>
    <t xml:space="preserve">قابل ثبت (جفت)</t>
  </si>
  <si>
    <t xml:space="preserve">مازاد بر سقف (جفت)</t>
  </si>
  <si>
    <t xml:space="preserve">چسب خارج از پک (واحد)</t>
  </si>
  <si>
    <t xml:space="preserve">سرنگ خارج از پک (عدد)</t>
  </si>
  <si>
    <t xml:space="preserve">گاز استریل خارج از پک (بسته ۵ عددی)</t>
  </si>
  <si>
    <t xml:space="preserve">ثبت در HIS</t>
  </si>
  <si>
    <t xml:space="preserve">ثبت‌کننده HIS</t>
  </si>
  <si>
    <t xml:space="preserve">ارزش دستکش قابل ثبت (ریال)</t>
  </si>
  <si>
    <t xml:space="preserve">ارزش چسب، سرنگ و گاز (ریال)</t>
  </si>
  <si>
    <t xml:space="preserve">جمع ارزش قابل ثبت (ریال)</t>
  </si>
  <si>
    <t xml:space="preserve">وضعیت</t>
  </si>
  <si>
    <t xml:space="preserve">توضیح</t>
  </si>
  <si>
    <t xml:space="preserve">بله</t>
  </si>
  <si>
    <t xml:space="preserve">خیر</t>
  </si>
  <si>
    <t xml:space="preserve">خلاصه ثبت دستکش اتاق عمل</t>
  </si>
  <si>
    <t xml:space="preserve">تعداد عمل ثبت‌شده در فرم</t>
  </si>
  <si>
    <t xml:space="preserve">عمل‌هایی که دستکش در HIS ثبت شده</t>
  </si>
  <si>
    <t xml:space="preserve">نرخ ثبت در HIS</t>
  </si>
  <si>
    <t xml:space="preserve">جمع دستکش معاینه مصرفی (جفت)</t>
  </si>
  <si>
    <t xml:space="preserve">دستکش قابل ثبت (جفت)</t>
  </si>
  <si>
    <t xml:space="preserve">مازاد بر سقف — غیرقابل ثبت (جفت)</t>
  </si>
  <si>
    <t xml:space="preserve">عمل‌هایی با مصرف بیش از ۵ جفت</t>
  </si>
  <si>
    <t xml:space="preserve">میانگین دستکش به ازای هر عمل (جفت)</t>
  </si>
  <si>
    <t xml:space="preserve">گاز استریل خارج از پک (بسته)</t>
  </si>
  <si>
    <t xml:space="preserve">جمع ارزش قابل ثبتی که در HIS ثبت نشده (ریال)</t>
  </si>
  <si>
    <t xml:space="preserve">ارزش‌ها با قیمت‌های برگه «پارامترها» حساب می‌شوند. قیمت چسب، سرنگ و گاز بر اساس پرمصرف‌ترین قلم هر گروه است؛ اگر اتاق عمل قلم دیگری مصرف می‌کند، قیمت را همان‌جا عوض کنید.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</si>
</sst>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.0%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1"/>
      <color theme="1"/>
      <name val="Free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E7EE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23.8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4" t="s">
        <v>16</v>
      </c>
    </row>
    <row r="2" customFormat="false" ht="15" hidden="false" customHeight="false" outlineLevel="0" collapsed="false">
      <c r="A2" s="5" t="s">
        <v>17</v>
      </c>
      <c r="B2" s="5" t="s">
        <v>18</v>
      </c>
      <c r="C2" s="5" t="s">
        <v>19</v>
      </c>
    </row>
    <row r="3" customFormat="false" ht="15" hidden="false" customHeight="false" outlineLevel="0" collapsed="false">
      <c r="A3" s="6" t="s">
        <v>20</v>
      </c>
      <c r="B3" s="7" t="n">
        <v>5</v>
      </c>
      <c r="C3" s="8" t="s">
        <v>21</v>
      </c>
    </row>
    <row r="4" customFormat="false" ht="15" hidden="false" customHeight="false" outlineLevel="0" collapsed="false">
      <c r="A4" s="6" t="s">
        <v>22</v>
      </c>
      <c r="B4" s="7" t="n">
        <v>241920</v>
      </c>
      <c r="C4" s="8" t="s">
        <v>23</v>
      </c>
    </row>
    <row r="5" customFormat="false" ht="15" hidden="false" customHeight="false" outlineLevel="0" collapsed="false">
      <c r="A5" s="6" t="s">
        <v>24</v>
      </c>
      <c r="B5" s="7" t="n">
        <v>170800</v>
      </c>
      <c r="C5" s="8" t="s">
        <v>23</v>
      </c>
    </row>
    <row r="6" customFormat="false" ht="15" hidden="false" customHeight="false" outlineLevel="0" collapsed="false">
      <c r="A6" s="6" t="s">
        <v>25</v>
      </c>
      <c r="B6" s="7" t="n">
        <v>181489</v>
      </c>
      <c r="C6" s="8" t="s">
        <v>26</v>
      </c>
    </row>
    <row r="7" customFormat="false" ht="15" hidden="false" customHeight="false" outlineLevel="0" collapsed="false">
      <c r="A7" s="6" t="s">
        <v>27</v>
      </c>
      <c r="B7" s="7" t="n">
        <v>110813</v>
      </c>
      <c r="C7" s="8" t="s">
        <v>28</v>
      </c>
    </row>
    <row r="8" customFormat="false" ht="15" hidden="false" customHeight="false" outlineLevel="0" collapsed="false">
      <c r="A8" s="6" t="s">
        <v>29</v>
      </c>
      <c r="B8" s="7" t="n">
        <v>454026</v>
      </c>
      <c r="C8" s="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0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9" min="8" style="0" width="9"/>
    <col collapsed="false" customWidth="true" hidden="false" outlineLevel="0" max="12" min="10" style="0" width="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2"/>
    <col collapsed="false" customWidth="true" hidden="false" outlineLevel="0" max="20" min="18" style="0" width="14"/>
    <col collapsed="false" customWidth="true" hidden="false" outlineLevel="0" max="21" min="21" style="0" width="18"/>
    <col collapsed="false" customWidth="true" hidden="false" outlineLevel="0" max="22" min="22" style="0" width="22"/>
  </cols>
  <sheetData>
    <row r="1" customFormat="false" ht="17.35" hidden="false" customHeight="false" outlineLevel="0" collapsed="false">
      <c r="A1" s="4" t="s">
        <v>31</v>
      </c>
    </row>
    <row r="2" customFormat="false" ht="15" hidden="false" customHeight="false" outlineLevel="0" collapsed="false">
      <c r="A2" s="8" t="s">
        <v>32</v>
      </c>
    </row>
    <row r="3" customFormat="false" ht="60" hidden="false" customHeight="true" outlineLevel="0" collapsed="false">
      <c r="A3" s="9" t="s">
        <v>33</v>
      </c>
      <c r="B3" s="9" t="s">
        <v>34</v>
      </c>
      <c r="C3" s="9" t="s">
        <v>35</v>
      </c>
      <c r="D3" s="9" t="s">
        <v>36</v>
      </c>
      <c r="E3" s="9" t="s">
        <v>37</v>
      </c>
      <c r="F3" s="9" t="s">
        <v>38</v>
      </c>
      <c r="G3" s="9" t="s">
        <v>39</v>
      </c>
      <c r="H3" s="9" t="s">
        <v>40</v>
      </c>
      <c r="I3" s="9" t="s">
        <v>41</v>
      </c>
      <c r="J3" s="9" t="s">
        <v>42</v>
      </c>
      <c r="K3" s="9" t="s">
        <v>43</v>
      </c>
      <c r="L3" s="9" t="s">
        <v>44</v>
      </c>
      <c r="M3" s="9" t="s">
        <v>45</v>
      </c>
      <c r="N3" s="9" t="s">
        <v>46</v>
      </c>
      <c r="O3" s="9" t="s">
        <v>47</v>
      </c>
      <c r="P3" s="9" t="s">
        <v>48</v>
      </c>
      <c r="Q3" s="9" t="s">
        <v>49</v>
      </c>
      <c r="R3" s="9" t="s">
        <v>50</v>
      </c>
      <c r="S3" s="9" t="s">
        <v>51</v>
      </c>
      <c r="T3" s="9" t="s">
        <v>52</v>
      </c>
      <c r="U3" s="9" t="s">
        <v>53</v>
      </c>
      <c r="V3" s="9" t="s">
        <v>54</v>
      </c>
    </row>
    <row r="4" customFormat="false" ht="15" hidden="false" customHeight="false" outlineLevel="0" collapsed="false">
      <c r="A4" s="10" t="str">
        <f aca="false">IF(C4="","",ROW()-3)</f>
        <v/>
      </c>
      <c r="B4" s="11"/>
      <c r="C4" s="11"/>
      <c r="D4" s="11"/>
      <c r="E4" s="11"/>
      <c r="F4" s="11"/>
      <c r="G4" s="11"/>
      <c r="H4" s="11"/>
      <c r="I4" s="11"/>
      <c r="J4" s="10" t="str">
        <f aca="false">IF(C4="","",N(H4)+N(I4))</f>
        <v/>
      </c>
      <c r="K4" s="10" t="str">
        <f aca="false">IF(C4="","",MIN(J4,پارامترها!$B$3))</f>
        <v/>
      </c>
      <c r="L4" s="10" t="str">
        <f aca="false">IF(C4="","",MAX(0,J4-پارامترها!$B$3))</f>
        <v/>
      </c>
      <c r="M4" s="11"/>
      <c r="N4" s="11"/>
      <c r="O4" s="11"/>
      <c r="P4" s="11"/>
      <c r="Q4" s="11"/>
      <c r="R4" s="12" t="str">
        <f aca="false">IF(OR(C4="",N(J4)=0),"",K4*2*(N(H4)*پارامترها!$B$4+N(I4)*پارامترها!$B$5)/J4)</f>
        <v/>
      </c>
      <c r="S4" s="12" t="str">
        <f aca="false">IF(C4="","",N(M4)*پارامترها!$B$6+N(N4)*پارامترها!$B$7+N(O4)*پارامترها!$B$8)</f>
        <v/>
      </c>
      <c r="T4" s="12" t="str">
        <f aca="false">IF(C4="","",N(R4)+N(S4))</f>
        <v/>
      </c>
      <c r="U4" s="10" t="str">
        <f aca="false">IF(C4="","",IF(P4&lt;&gt;"بله","ثبت نشده در HIS",IF(N(L4)&gt;0,"ثبت‌شده؛ مازاد بر سقف","ثبت‌شده")))</f>
        <v/>
      </c>
      <c r="V4" s="11"/>
    </row>
    <row r="5" customFormat="false" ht="15" hidden="false" customHeight="false" outlineLevel="0" collapsed="false">
      <c r="A5" s="10" t="str">
        <f aca="false">IF(C5="","",ROW()-3)</f>
        <v/>
      </c>
      <c r="B5" s="11"/>
      <c r="C5" s="11"/>
      <c r="D5" s="11"/>
      <c r="E5" s="11"/>
      <c r="F5" s="11"/>
      <c r="G5" s="11"/>
      <c r="H5" s="11"/>
      <c r="I5" s="11"/>
      <c r="J5" s="10" t="str">
        <f aca="false">IF(C5="","",N(H5)+N(I5))</f>
        <v/>
      </c>
      <c r="K5" s="10" t="str">
        <f aca="false">IF(C5="","",MIN(J5,پارامترها!$B$3))</f>
        <v/>
      </c>
      <c r="L5" s="10" t="str">
        <f aca="false">IF(C5="","",MAX(0,J5-پارامترها!$B$3))</f>
        <v/>
      </c>
      <c r="M5" s="11"/>
      <c r="N5" s="11"/>
      <c r="O5" s="11"/>
      <c r="P5" s="11"/>
      <c r="Q5" s="11"/>
      <c r="R5" s="12" t="str">
        <f aca="false">IF(OR(C5="",N(J5)=0),"",K5*2*(N(H5)*پارامترها!$B$4+N(I5)*پارامترها!$B$5)/J5)</f>
        <v/>
      </c>
      <c r="S5" s="12" t="str">
        <f aca="false">IF(C5="","",N(M5)*پارامترها!$B$6+N(N5)*پارامترها!$B$7+N(O5)*پارامترها!$B$8)</f>
        <v/>
      </c>
      <c r="T5" s="12" t="str">
        <f aca="false">IF(C5="","",N(R5)+N(S5))</f>
        <v/>
      </c>
      <c r="U5" s="10" t="str">
        <f aca="false">IF(C5="","",IF(P5&lt;&gt;"بله","ثبت نشده در HIS",IF(N(L5)&gt;0,"ثبت‌شده؛ مازاد بر سقف","ثبت‌شده")))</f>
        <v/>
      </c>
      <c r="V5" s="11"/>
    </row>
    <row r="6" customFormat="false" ht="15" hidden="false" customHeight="false" outlineLevel="0" collapsed="false">
      <c r="A6" s="10" t="str">
        <f aca="false">IF(C6="","",ROW()-3)</f>
        <v/>
      </c>
      <c r="B6" s="11"/>
      <c r="C6" s="11"/>
      <c r="D6" s="11"/>
      <c r="E6" s="11"/>
      <c r="F6" s="11"/>
      <c r="G6" s="11"/>
      <c r="H6" s="11"/>
      <c r="I6" s="11"/>
      <c r="J6" s="10" t="str">
        <f aca="false">IF(C6="","",N(H6)+N(I6))</f>
        <v/>
      </c>
      <c r="K6" s="10" t="str">
        <f aca="false">IF(C6="","",MIN(J6,پارامترها!$B$3))</f>
        <v/>
      </c>
      <c r="L6" s="10" t="str">
        <f aca="false">IF(C6="","",MAX(0,J6-پارامترها!$B$3))</f>
        <v/>
      </c>
      <c r="M6" s="11"/>
      <c r="N6" s="11"/>
      <c r="O6" s="11"/>
      <c r="P6" s="11"/>
      <c r="Q6" s="11"/>
      <c r="R6" s="12" t="str">
        <f aca="false">IF(OR(C6="",N(J6)=0),"",K6*2*(N(H6)*پارامترها!$B$4+N(I6)*پارامترها!$B$5)/J6)</f>
        <v/>
      </c>
      <c r="S6" s="12" t="str">
        <f aca="false">IF(C6="","",N(M6)*پارامترها!$B$6+N(N6)*پارامترها!$B$7+N(O6)*پارامترها!$B$8)</f>
        <v/>
      </c>
      <c r="T6" s="12" t="str">
        <f aca="false">IF(C6="","",N(R6)+N(S6))</f>
        <v/>
      </c>
      <c r="U6" s="10" t="str">
        <f aca="false">IF(C6="","",IF(P6&lt;&gt;"بله","ثبت نشده در HIS",IF(N(L6)&gt;0,"ثبت‌شده؛ مازاد بر سقف","ثبت‌شده")))</f>
        <v/>
      </c>
      <c r="V6" s="11"/>
    </row>
    <row r="7" customFormat="false" ht="15" hidden="false" customHeight="false" outlineLevel="0" collapsed="false">
      <c r="A7" s="10" t="str">
        <f aca="false">IF(C7="","",ROW()-3)</f>
        <v/>
      </c>
      <c r="B7" s="11"/>
      <c r="C7" s="11"/>
      <c r="D7" s="11"/>
      <c r="E7" s="11"/>
      <c r="F7" s="11"/>
      <c r="G7" s="11"/>
      <c r="H7" s="11"/>
      <c r="I7" s="11"/>
      <c r="J7" s="10" t="str">
        <f aca="false">IF(C7="","",N(H7)+N(I7))</f>
        <v/>
      </c>
      <c r="K7" s="10" t="str">
        <f aca="false">IF(C7="","",MIN(J7,پارامترها!$B$3))</f>
        <v/>
      </c>
      <c r="L7" s="10" t="str">
        <f aca="false">IF(C7="","",MAX(0,J7-پارامترها!$B$3))</f>
        <v/>
      </c>
      <c r="M7" s="11"/>
      <c r="N7" s="11"/>
      <c r="O7" s="11"/>
      <c r="P7" s="11"/>
      <c r="Q7" s="11"/>
      <c r="R7" s="12" t="str">
        <f aca="false">IF(OR(C7="",N(J7)=0),"",K7*2*(N(H7)*پارامترها!$B$4+N(I7)*پارامترها!$B$5)/J7)</f>
        <v/>
      </c>
      <c r="S7" s="12" t="str">
        <f aca="false">IF(C7="","",N(M7)*پارامترها!$B$6+N(N7)*پارامترها!$B$7+N(O7)*پارامترها!$B$8)</f>
        <v/>
      </c>
      <c r="T7" s="12" t="str">
        <f aca="false">IF(C7="","",N(R7)+N(S7))</f>
        <v/>
      </c>
      <c r="U7" s="10" t="str">
        <f aca="false">IF(C7="","",IF(P7&lt;&gt;"بله","ثبت نشده در HIS",IF(N(L7)&gt;0,"ثبت‌شده؛ مازاد بر سقف","ثبت‌شده")))</f>
        <v/>
      </c>
      <c r="V7" s="11"/>
    </row>
    <row r="8" customFormat="false" ht="15" hidden="false" customHeight="false" outlineLevel="0" collapsed="false">
      <c r="A8" s="10" t="str">
        <f aca="false">IF(C8="","",ROW()-3)</f>
        <v/>
      </c>
      <c r="B8" s="11"/>
      <c r="C8" s="11"/>
      <c r="D8" s="11"/>
      <c r="E8" s="11"/>
      <c r="F8" s="11"/>
      <c r="G8" s="11"/>
      <c r="H8" s="11"/>
      <c r="I8" s="11"/>
      <c r="J8" s="10" t="str">
        <f aca="false">IF(C8="","",N(H8)+N(I8))</f>
        <v/>
      </c>
      <c r="K8" s="10" t="str">
        <f aca="false">IF(C8="","",MIN(J8,پارامترها!$B$3))</f>
        <v/>
      </c>
      <c r="L8" s="10" t="str">
        <f aca="false">IF(C8="","",MAX(0,J8-پارامترها!$B$3))</f>
        <v/>
      </c>
      <c r="M8" s="11"/>
      <c r="N8" s="11"/>
      <c r="O8" s="11"/>
      <c r="P8" s="11"/>
      <c r="Q8" s="11"/>
      <c r="R8" s="12" t="str">
        <f aca="false">IF(OR(C8="",N(J8)=0),"",K8*2*(N(H8)*پارامترها!$B$4+N(I8)*پارامترها!$B$5)/J8)</f>
        <v/>
      </c>
      <c r="S8" s="12" t="str">
        <f aca="false">IF(C8="","",N(M8)*پارامترها!$B$6+N(N8)*پارامترها!$B$7+N(O8)*پارامترها!$B$8)</f>
        <v/>
      </c>
      <c r="T8" s="12" t="str">
        <f aca="false">IF(C8="","",N(R8)+N(S8))</f>
        <v/>
      </c>
      <c r="U8" s="10" t="str">
        <f aca="false">IF(C8="","",IF(P8&lt;&gt;"بله","ثبت نشده در HIS",IF(N(L8)&gt;0,"ثبت‌شده؛ مازاد بر سقف","ثبت‌شده")))</f>
        <v/>
      </c>
      <c r="V8" s="11"/>
    </row>
    <row r="9" customFormat="false" ht="15" hidden="false" customHeight="false" outlineLevel="0" collapsed="false">
      <c r="A9" s="10" t="str">
        <f aca="false">IF(C9="","",ROW()-3)</f>
        <v/>
      </c>
      <c r="B9" s="11"/>
      <c r="C9" s="11"/>
      <c r="D9" s="11"/>
      <c r="E9" s="11"/>
      <c r="F9" s="11"/>
      <c r="G9" s="11"/>
      <c r="H9" s="11"/>
      <c r="I9" s="11"/>
      <c r="J9" s="10" t="str">
        <f aca="false">IF(C9="","",N(H9)+N(I9))</f>
        <v/>
      </c>
      <c r="K9" s="10" t="str">
        <f aca="false">IF(C9="","",MIN(J9,پارامترها!$B$3))</f>
        <v/>
      </c>
      <c r="L9" s="10" t="str">
        <f aca="false">IF(C9="","",MAX(0,J9-پارامترها!$B$3))</f>
        <v/>
      </c>
      <c r="M9" s="11"/>
      <c r="N9" s="11"/>
      <c r="O9" s="11"/>
      <c r="P9" s="11"/>
      <c r="Q9" s="11"/>
      <c r="R9" s="12" t="str">
        <f aca="false">IF(OR(C9="",N(J9)=0),"",K9*2*(N(H9)*پارامترها!$B$4+N(I9)*پارامترها!$B$5)/J9)</f>
        <v/>
      </c>
      <c r="S9" s="12" t="str">
        <f aca="false">IF(C9="","",N(M9)*پارامترها!$B$6+N(N9)*پارامترها!$B$7+N(O9)*پارامترها!$B$8)</f>
        <v/>
      </c>
      <c r="T9" s="12" t="str">
        <f aca="false">IF(C9="","",N(R9)+N(S9))</f>
        <v/>
      </c>
      <c r="U9" s="10" t="str">
        <f aca="false">IF(C9="","",IF(P9&lt;&gt;"بله","ثبت نشده در HIS",IF(N(L9)&gt;0,"ثبت‌شده؛ مازاد بر سقف","ثبت‌شده")))</f>
        <v/>
      </c>
      <c r="V9" s="11"/>
    </row>
    <row r="10" customFormat="false" ht="15" hidden="false" customHeight="false" outlineLevel="0" collapsed="false">
      <c r="A10" s="10" t="str">
        <f aca="false">IF(C10="","",ROW()-3)</f>
        <v/>
      </c>
      <c r="B10" s="11"/>
      <c r="C10" s="11"/>
      <c r="D10" s="11"/>
      <c r="E10" s="11"/>
      <c r="F10" s="11"/>
      <c r="G10" s="11"/>
      <c r="H10" s="11"/>
      <c r="I10" s="11"/>
      <c r="J10" s="10" t="str">
        <f aca="false">IF(C10="","",N(H10)+N(I10))</f>
        <v/>
      </c>
      <c r="K10" s="10" t="str">
        <f aca="false">IF(C10="","",MIN(J10,پارامترها!$B$3))</f>
        <v/>
      </c>
      <c r="L10" s="10" t="str">
        <f aca="false">IF(C10="","",MAX(0,J10-پارامترها!$B$3))</f>
        <v/>
      </c>
      <c r="M10" s="11"/>
      <c r="N10" s="11"/>
      <c r="O10" s="11"/>
      <c r="P10" s="11"/>
      <c r="Q10" s="11"/>
      <c r="R10" s="12" t="str">
        <f aca="false">IF(OR(C10="",N(J10)=0),"",K10*2*(N(H10)*پارامترها!$B$4+N(I10)*پارامترها!$B$5)/J10)</f>
        <v/>
      </c>
      <c r="S10" s="12" t="str">
        <f aca="false">IF(C10="","",N(M10)*پارامترها!$B$6+N(N10)*پارامترها!$B$7+N(O10)*پارامترها!$B$8)</f>
        <v/>
      </c>
      <c r="T10" s="12" t="str">
        <f aca="false">IF(C10="","",N(R10)+N(S10))</f>
        <v/>
      </c>
      <c r="U10" s="10" t="str">
        <f aca="false">IF(C10="","",IF(P10&lt;&gt;"بله","ثبت نشده در HIS",IF(N(L10)&gt;0,"ثبت‌شده؛ مازاد بر سقف","ثبت‌شده")))</f>
        <v/>
      </c>
      <c r="V10" s="11"/>
    </row>
    <row r="11" customFormat="false" ht="15" hidden="false" customHeight="false" outlineLevel="0" collapsed="false">
      <c r="A11" s="10" t="str">
        <f aca="false">IF(C11="","",ROW()-3)</f>
        <v/>
      </c>
      <c r="B11" s="11"/>
      <c r="C11" s="11"/>
      <c r="D11" s="11"/>
      <c r="E11" s="11"/>
      <c r="F11" s="11"/>
      <c r="G11" s="11"/>
      <c r="H11" s="11"/>
      <c r="I11" s="11"/>
      <c r="J11" s="10" t="str">
        <f aca="false">IF(C11="","",N(H11)+N(I11))</f>
        <v/>
      </c>
      <c r="K11" s="10" t="str">
        <f aca="false">IF(C11="","",MIN(J11,پارامترها!$B$3))</f>
        <v/>
      </c>
      <c r="L11" s="10" t="str">
        <f aca="false">IF(C11="","",MAX(0,J11-پارامترها!$B$3))</f>
        <v/>
      </c>
      <c r="M11" s="11"/>
      <c r="N11" s="11"/>
      <c r="O11" s="11"/>
      <c r="P11" s="11"/>
      <c r="Q11" s="11"/>
      <c r="R11" s="12" t="str">
        <f aca="false">IF(OR(C11="",N(J11)=0),"",K11*2*(N(H11)*پارامترها!$B$4+N(I11)*پارامترها!$B$5)/J11)</f>
        <v/>
      </c>
      <c r="S11" s="12" t="str">
        <f aca="false">IF(C11="","",N(M11)*پارامترها!$B$6+N(N11)*پارامترها!$B$7+N(O11)*پارامترها!$B$8)</f>
        <v/>
      </c>
      <c r="T11" s="12" t="str">
        <f aca="false">IF(C11="","",N(R11)+N(S11))</f>
        <v/>
      </c>
      <c r="U11" s="10" t="str">
        <f aca="false">IF(C11="","",IF(P11&lt;&gt;"بله","ثبت نشده در HIS",IF(N(L11)&gt;0,"ثبت‌شده؛ مازاد بر سقف","ثبت‌شده")))</f>
        <v/>
      </c>
      <c r="V11" s="11"/>
    </row>
    <row r="12" customFormat="false" ht="15" hidden="false" customHeight="false" outlineLevel="0" collapsed="false">
      <c r="A12" s="10" t="str">
        <f aca="false">IF(C12="","",ROW()-3)</f>
        <v/>
      </c>
      <c r="B12" s="11"/>
      <c r="C12" s="11"/>
      <c r="D12" s="11"/>
      <c r="E12" s="11"/>
      <c r="F12" s="11"/>
      <c r="G12" s="11"/>
      <c r="H12" s="11"/>
      <c r="I12" s="11"/>
      <c r="J12" s="10" t="str">
        <f aca="false">IF(C12="","",N(H12)+N(I12))</f>
        <v/>
      </c>
      <c r="K12" s="10" t="str">
        <f aca="false">IF(C12="","",MIN(J12,پارامترها!$B$3))</f>
        <v/>
      </c>
      <c r="L12" s="10" t="str">
        <f aca="false">IF(C12="","",MAX(0,J12-پارامترها!$B$3))</f>
        <v/>
      </c>
      <c r="M12" s="11"/>
      <c r="N12" s="11"/>
      <c r="O12" s="11"/>
      <c r="P12" s="11"/>
      <c r="Q12" s="11"/>
      <c r="R12" s="12" t="str">
        <f aca="false">IF(OR(C12="",N(J12)=0),"",K12*2*(N(H12)*پارامترها!$B$4+N(I12)*پارامترها!$B$5)/J12)</f>
        <v/>
      </c>
      <c r="S12" s="12" t="str">
        <f aca="false">IF(C12="","",N(M12)*پارامترها!$B$6+N(N12)*پارامترها!$B$7+N(O12)*پارامترها!$B$8)</f>
        <v/>
      </c>
      <c r="T12" s="12" t="str">
        <f aca="false">IF(C12="","",N(R12)+N(S12))</f>
        <v/>
      </c>
      <c r="U12" s="10" t="str">
        <f aca="false">IF(C12="","",IF(P12&lt;&gt;"بله","ثبت نشده در HIS",IF(N(L12)&gt;0,"ثبت‌شده؛ مازاد بر سقف","ثبت‌شده")))</f>
        <v/>
      </c>
      <c r="V12" s="11"/>
    </row>
    <row r="13" customFormat="false" ht="15" hidden="false" customHeight="false" outlineLevel="0" collapsed="false">
      <c r="A13" s="10" t="str">
        <f aca="false">IF(C13="","",ROW()-3)</f>
        <v/>
      </c>
      <c r="B13" s="11"/>
      <c r="C13" s="11"/>
      <c r="D13" s="11"/>
      <c r="E13" s="11"/>
      <c r="F13" s="11"/>
      <c r="G13" s="11"/>
      <c r="H13" s="11"/>
      <c r="I13" s="11"/>
      <c r="J13" s="10" t="str">
        <f aca="false">IF(C13="","",N(H13)+N(I13))</f>
        <v/>
      </c>
      <c r="K13" s="10" t="str">
        <f aca="false">IF(C13="","",MIN(J13,پارامترها!$B$3))</f>
        <v/>
      </c>
      <c r="L13" s="10" t="str">
        <f aca="false">IF(C13="","",MAX(0,J13-پارامترها!$B$3))</f>
        <v/>
      </c>
      <c r="M13" s="11"/>
      <c r="N13" s="11"/>
      <c r="O13" s="11"/>
      <c r="P13" s="11"/>
      <c r="Q13" s="11"/>
      <c r="R13" s="12" t="str">
        <f aca="false">IF(OR(C13="",N(J13)=0),"",K13*2*(N(H13)*پارامترها!$B$4+N(I13)*پارامترها!$B$5)/J13)</f>
        <v/>
      </c>
      <c r="S13" s="12" t="str">
        <f aca="false">IF(C13="","",N(M13)*پارامترها!$B$6+N(N13)*پارامترها!$B$7+N(O13)*پارامترها!$B$8)</f>
        <v/>
      </c>
      <c r="T13" s="12" t="str">
        <f aca="false">IF(C13="","",N(R13)+N(S13))</f>
        <v/>
      </c>
      <c r="U13" s="10" t="str">
        <f aca="false">IF(C13="","",IF(P13&lt;&gt;"بله","ثبت نشده در HIS",IF(N(L13)&gt;0,"ثبت‌شده؛ مازاد بر سقف","ثبت‌شده")))</f>
        <v/>
      </c>
      <c r="V13" s="11"/>
    </row>
    <row r="14" customFormat="false" ht="15" hidden="false" customHeight="false" outlineLevel="0" collapsed="false">
      <c r="A14" s="10" t="str">
        <f aca="false">IF(C14="","",ROW()-3)</f>
        <v/>
      </c>
      <c r="B14" s="11"/>
      <c r="C14" s="11"/>
      <c r="D14" s="11"/>
      <c r="E14" s="11"/>
      <c r="F14" s="11"/>
      <c r="G14" s="11"/>
      <c r="H14" s="11"/>
      <c r="I14" s="11"/>
      <c r="J14" s="10" t="str">
        <f aca="false">IF(C14="","",N(H14)+N(I14))</f>
        <v/>
      </c>
      <c r="K14" s="10" t="str">
        <f aca="false">IF(C14="","",MIN(J14,پارامترها!$B$3))</f>
        <v/>
      </c>
      <c r="L14" s="10" t="str">
        <f aca="false">IF(C14="","",MAX(0,J14-پارامترها!$B$3))</f>
        <v/>
      </c>
      <c r="M14" s="11"/>
      <c r="N14" s="11"/>
      <c r="O14" s="11"/>
      <c r="P14" s="11"/>
      <c r="Q14" s="11"/>
      <c r="R14" s="12" t="str">
        <f aca="false">IF(OR(C14="",N(J14)=0),"",K14*2*(N(H14)*پارامترها!$B$4+N(I14)*پارامترها!$B$5)/J14)</f>
        <v/>
      </c>
      <c r="S14" s="12" t="str">
        <f aca="false">IF(C14="","",N(M14)*پارامترها!$B$6+N(N14)*پارامترها!$B$7+N(O14)*پارامترها!$B$8)</f>
        <v/>
      </c>
      <c r="T14" s="12" t="str">
        <f aca="false">IF(C14="","",N(R14)+N(S14))</f>
        <v/>
      </c>
      <c r="U14" s="10" t="str">
        <f aca="false">IF(C14="","",IF(P14&lt;&gt;"بله","ثبت نشده در HIS",IF(N(L14)&gt;0,"ثبت‌شده؛ مازاد بر سقف","ثبت‌شده")))</f>
        <v/>
      </c>
      <c r="V14" s="11"/>
    </row>
    <row r="15" customFormat="false" ht="15" hidden="false" customHeight="false" outlineLevel="0" collapsed="false">
      <c r="A15" s="10" t="str">
        <f aca="false">IF(C15="","",ROW()-3)</f>
        <v/>
      </c>
      <c r="B15" s="11"/>
      <c r="C15" s="11"/>
      <c r="D15" s="11"/>
      <c r="E15" s="11"/>
      <c r="F15" s="11"/>
      <c r="G15" s="11"/>
      <c r="H15" s="11"/>
      <c r="I15" s="11"/>
      <c r="J15" s="10" t="str">
        <f aca="false">IF(C15="","",N(H15)+N(I15))</f>
        <v/>
      </c>
      <c r="K15" s="10" t="str">
        <f aca="false">IF(C15="","",MIN(J15,پارامترها!$B$3))</f>
        <v/>
      </c>
      <c r="L15" s="10" t="str">
        <f aca="false">IF(C15="","",MAX(0,J15-پارامترها!$B$3))</f>
        <v/>
      </c>
      <c r="M15" s="11"/>
      <c r="N15" s="11"/>
      <c r="O15" s="11"/>
      <c r="P15" s="11"/>
      <c r="Q15" s="11"/>
      <c r="R15" s="12" t="str">
        <f aca="false">IF(OR(C15="",N(J15)=0),"",K15*2*(N(H15)*پارامترها!$B$4+N(I15)*پارامترها!$B$5)/J15)</f>
        <v/>
      </c>
      <c r="S15" s="12" t="str">
        <f aca="false">IF(C15="","",N(M15)*پارامترها!$B$6+N(N15)*پارامترها!$B$7+N(O15)*پارامترها!$B$8)</f>
        <v/>
      </c>
      <c r="T15" s="12" t="str">
        <f aca="false">IF(C15="","",N(R15)+N(S15))</f>
        <v/>
      </c>
      <c r="U15" s="10" t="str">
        <f aca="false">IF(C15="","",IF(P15&lt;&gt;"بله","ثبت نشده در HIS",IF(N(L15)&gt;0,"ثبت‌شده؛ مازاد بر سقف","ثبت‌شده")))</f>
        <v/>
      </c>
      <c r="V15" s="11"/>
    </row>
    <row r="16" customFormat="false" ht="15" hidden="false" customHeight="false" outlineLevel="0" collapsed="false">
      <c r="A16" s="10" t="str">
        <f aca="false">IF(C16="","",ROW()-3)</f>
        <v/>
      </c>
      <c r="B16" s="11"/>
      <c r="C16" s="11"/>
      <c r="D16" s="11"/>
      <c r="E16" s="11"/>
      <c r="F16" s="11"/>
      <c r="G16" s="11"/>
      <c r="H16" s="11"/>
      <c r="I16" s="11"/>
      <c r="J16" s="10" t="str">
        <f aca="false">IF(C16="","",N(H16)+N(I16))</f>
        <v/>
      </c>
      <c r="K16" s="10" t="str">
        <f aca="false">IF(C16="","",MIN(J16,پارامترها!$B$3))</f>
        <v/>
      </c>
      <c r="L16" s="10" t="str">
        <f aca="false">IF(C16="","",MAX(0,J16-پارامترها!$B$3))</f>
        <v/>
      </c>
      <c r="M16" s="11"/>
      <c r="N16" s="11"/>
      <c r="O16" s="11"/>
      <c r="P16" s="11"/>
      <c r="Q16" s="11"/>
      <c r="R16" s="12" t="str">
        <f aca="false">IF(OR(C16="",N(J16)=0),"",K16*2*(N(H16)*پارامترها!$B$4+N(I16)*پارامترها!$B$5)/J16)</f>
        <v/>
      </c>
      <c r="S16" s="12" t="str">
        <f aca="false">IF(C16="","",N(M16)*پارامترها!$B$6+N(N16)*پارامترها!$B$7+N(O16)*پارامترها!$B$8)</f>
        <v/>
      </c>
      <c r="T16" s="12" t="str">
        <f aca="false">IF(C16="","",N(R16)+N(S16))</f>
        <v/>
      </c>
      <c r="U16" s="10" t="str">
        <f aca="false">IF(C16="","",IF(P16&lt;&gt;"بله","ثبت نشده در HIS",IF(N(L16)&gt;0,"ثبت‌شده؛ مازاد بر سقف","ثبت‌شده")))</f>
        <v/>
      </c>
      <c r="V16" s="11"/>
    </row>
    <row r="17" customFormat="false" ht="15" hidden="false" customHeight="false" outlineLevel="0" collapsed="false">
      <c r="A17" s="10" t="str">
        <f aca="false">IF(C17="","",ROW()-3)</f>
        <v/>
      </c>
      <c r="B17" s="11"/>
      <c r="C17" s="11"/>
      <c r="D17" s="11"/>
      <c r="E17" s="11"/>
      <c r="F17" s="11"/>
      <c r="G17" s="11"/>
      <c r="H17" s="11"/>
      <c r="I17" s="11"/>
      <c r="J17" s="10" t="str">
        <f aca="false">IF(C17="","",N(H17)+N(I17))</f>
        <v/>
      </c>
      <c r="K17" s="10" t="str">
        <f aca="false">IF(C17="","",MIN(J17,پارامترها!$B$3))</f>
        <v/>
      </c>
      <c r="L17" s="10" t="str">
        <f aca="false">IF(C17="","",MAX(0,J17-پارامترها!$B$3))</f>
        <v/>
      </c>
      <c r="M17" s="11"/>
      <c r="N17" s="11"/>
      <c r="O17" s="11"/>
      <c r="P17" s="11"/>
      <c r="Q17" s="11"/>
      <c r="R17" s="12" t="str">
        <f aca="false">IF(OR(C17="",N(J17)=0),"",K17*2*(N(H17)*پارامترها!$B$4+N(I17)*پارامترها!$B$5)/J17)</f>
        <v/>
      </c>
      <c r="S17" s="12" t="str">
        <f aca="false">IF(C17="","",N(M17)*پارامترها!$B$6+N(N17)*پارامترها!$B$7+N(O17)*پارامترها!$B$8)</f>
        <v/>
      </c>
      <c r="T17" s="12" t="str">
        <f aca="false">IF(C17="","",N(R17)+N(S17))</f>
        <v/>
      </c>
      <c r="U17" s="10" t="str">
        <f aca="false">IF(C17="","",IF(P17&lt;&gt;"بله","ثبت نشده در HIS",IF(N(L17)&gt;0,"ثبت‌شده؛ مازاد بر سقف","ثبت‌شده")))</f>
        <v/>
      </c>
      <c r="V17" s="11"/>
    </row>
    <row r="18" customFormat="false" ht="15" hidden="false" customHeight="false" outlineLevel="0" collapsed="false">
      <c r="A18" s="10" t="str">
        <f aca="false">IF(C18="","",ROW()-3)</f>
        <v/>
      </c>
      <c r="B18" s="11"/>
      <c r="C18" s="11"/>
      <c r="D18" s="11"/>
      <c r="E18" s="11"/>
      <c r="F18" s="11"/>
      <c r="G18" s="11"/>
      <c r="H18" s="11"/>
      <c r="I18" s="11"/>
      <c r="J18" s="10" t="str">
        <f aca="false">IF(C18="","",N(H18)+N(I18))</f>
        <v/>
      </c>
      <c r="K18" s="10" t="str">
        <f aca="false">IF(C18="","",MIN(J18,پارامترها!$B$3))</f>
        <v/>
      </c>
      <c r="L18" s="10" t="str">
        <f aca="false">IF(C18="","",MAX(0,J18-پارامترها!$B$3))</f>
        <v/>
      </c>
      <c r="M18" s="11"/>
      <c r="N18" s="11"/>
      <c r="O18" s="11"/>
      <c r="P18" s="11"/>
      <c r="Q18" s="11"/>
      <c r="R18" s="12" t="str">
        <f aca="false">IF(OR(C18="",N(J18)=0),"",K18*2*(N(H18)*پارامترها!$B$4+N(I18)*پارامترها!$B$5)/J18)</f>
        <v/>
      </c>
      <c r="S18" s="12" t="str">
        <f aca="false">IF(C18="","",N(M18)*پارامترها!$B$6+N(N18)*پارامترها!$B$7+N(O18)*پارامترها!$B$8)</f>
        <v/>
      </c>
      <c r="T18" s="12" t="str">
        <f aca="false">IF(C18="","",N(R18)+N(S18))</f>
        <v/>
      </c>
      <c r="U18" s="10" t="str">
        <f aca="false">IF(C18="","",IF(P18&lt;&gt;"بله","ثبت نشده در HIS",IF(N(L18)&gt;0,"ثبت‌شده؛ مازاد بر سقف","ثبت‌شده")))</f>
        <v/>
      </c>
      <c r="V18" s="11"/>
    </row>
    <row r="19" customFormat="false" ht="15" hidden="false" customHeight="false" outlineLevel="0" collapsed="false">
      <c r="A19" s="10" t="str">
        <f aca="false">IF(C19="","",ROW()-3)</f>
        <v/>
      </c>
      <c r="B19" s="11"/>
      <c r="C19" s="11"/>
      <c r="D19" s="11"/>
      <c r="E19" s="11"/>
      <c r="F19" s="11"/>
      <c r="G19" s="11"/>
      <c r="H19" s="11"/>
      <c r="I19" s="11"/>
      <c r="J19" s="10" t="str">
        <f aca="false">IF(C19="","",N(H19)+N(I19))</f>
        <v/>
      </c>
      <c r="K19" s="10" t="str">
        <f aca="false">IF(C19="","",MIN(J19,پارامترها!$B$3))</f>
        <v/>
      </c>
      <c r="L19" s="10" t="str">
        <f aca="false">IF(C19="","",MAX(0,J19-پارامترها!$B$3))</f>
        <v/>
      </c>
      <c r="M19" s="11"/>
      <c r="N19" s="11"/>
      <c r="O19" s="11"/>
      <c r="P19" s="11"/>
      <c r="Q19" s="11"/>
      <c r="R19" s="12" t="str">
        <f aca="false">IF(OR(C19="",N(J19)=0),"",K19*2*(N(H19)*پارامترها!$B$4+N(I19)*پارامترها!$B$5)/J19)</f>
        <v/>
      </c>
      <c r="S19" s="12" t="str">
        <f aca="false">IF(C19="","",N(M19)*پارامترها!$B$6+N(N19)*پارامترها!$B$7+N(O19)*پارامترها!$B$8)</f>
        <v/>
      </c>
      <c r="T19" s="12" t="str">
        <f aca="false">IF(C19="","",N(R19)+N(S19))</f>
        <v/>
      </c>
      <c r="U19" s="10" t="str">
        <f aca="false">IF(C19="","",IF(P19&lt;&gt;"بله","ثبت نشده در HIS",IF(N(L19)&gt;0,"ثبت‌شده؛ مازاد بر سقف","ثبت‌شده")))</f>
        <v/>
      </c>
      <c r="V19" s="11"/>
    </row>
    <row r="20" customFormat="false" ht="15" hidden="false" customHeight="false" outlineLevel="0" collapsed="false">
      <c r="A20" s="10" t="str">
        <f aca="false">IF(C20="","",ROW()-3)</f>
        <v/>
      </c>
      <c r="B20" s="11"/>
      <c r="C20" s="11"/>
      <c r="D20" s="11"/>
      <c r="E20" s="11"/>
      <c r="F20" s="11"/>
      <c r="G20" s="11"/>
      <c r="H20" s="11"/>
      <c r="I20" s="11"/>
      <c r="J20" s="10" t="str">
        <f aca="false">IF(C20="","",N(H20)+N(I20))</f>
        <v/>
      </c>
      <c r="K20" s="10" t="str">
        <f aca="false">IF(C20="","",MIN(J20,پارامترها!$B$3))</f>
        <v/>
      </c>
      <c r="L20" s="10" t="str">
        <f aca="false">IF(C20="","",MAX(0,J20-پارامترها!$B$3))</f>
        <v/>
      </c>
      <c r="M20" s="11"/>
      <c r="N20" s="11"/>
      <c r="O20" s="11"/>
      <c r="P20" s="11"/>
      <c r="Q20" s="11"/>
      <c r="R20" s="12" t="str">
        <f aca="false">IF(OR(C20="",N(J20)=0),"",K20*2*(N(H20)*پارامترها!$B$4+N(I20)*پارامترها!$B$5)/J20)</f>
        <v/>
      </c>
      <c r="S20" s="12" t="str">
        <f aca="false">IF(C20="","",N(M20)*پارامترها!$B$6+N(N20)*پارامترها!$B$7+N(O20)*پارامترها!$B$8)</f>
        <v/>
      </c>
      <c r="T20" s="12" t="str">
        <f aca="false">IF(C20="","",N(R20)+N(S20))</f>
        <v/>
      </c>
      <c r="U20" s="10" t="str">
        <f aca="false">IF(C20="","",IF(P20&lt;&gt;"بله","ثبت نشده در HIS",IF(N(L20)&gt;0,"ثبت‌شده؛ مازاد بر سقف","ثبت‌شده")))</f>
        <v/>
      </c>
      <c r="V20" s="11"/>
    </row>
    <row r="21" customFormat="false" ht="15" hidden="false" customHeight="false" outlineLevel="0" collapsed="false">
      <c r="A21" s="10" t="str">
        <f aca="false">IF(C21="","",ROW()-3)</f>
        <v/>
      </c>
      <c r="B21" s="11"/>
      <c r="C21" s="11"/>
      <c r="D21" s="11"/>
      <c r="E21" s="11"/>
      <c r="F21" s="11"/>
      <c r="G21" s="11"/>
      <c r="H21" s="11"/>
      <c r="I21" s="11"/>
      <c r="J21" s="10" t="str">
        <f aca="false">IF(C21="","",N(H21)+N(I21))</f>
        <v/>
      </c>
      <c r="K21" s="10" t="str">
        <f aca="false">IF(C21="","",MIN(J21,پارامترها!$B$3))</f>
        <v/>
      </c>
      <c r="L21" s="10" t="str">
        <f aca="false">IF(C21="","",MAX(0,J21-پارامترها!$B$3))</f>
        <v/>
      </c>
      <c r="M21" s="11"/>
      <c r="N21" s="11"/>
      <c r="O21" s="11"/>
      <c r="P21" s="11"/>
      <c r="Q21" s="11"/>
      <c r="R21" s="12" t="str">
        <f aca="false">IF(OR(C21="",N(J21)=0),"",K21*2*(N(H21)*پارامترها!$B$4+N(I21)*پارامترها!$B$5)/J21)</f>
        <v/>
      </c>
      <c r="S21" s="12" t="str">
        <f aca="false">IF(C21="","",N(M21)*پارامترها!$B$6+N(N21)*پارامترها!$B$7+N(O21)*پارامترها!$B$8)</f>
        <v/>
      </c>
      <c r="T21" s="12" t="str">
        <f aca="false">IF(C21="","",N(R21)+N(S21))</f>
        <v/>
      </c>
      <c r="U21" s="10" t="str">
        <f aca="false">IF(C21="","",IF(P21&lt;&gt;"بله","ثبت نشده در HIS",IF(N(L21)&gt;0,"ثبت‌شده؛ مازاد بر سقف","ثبت‌شده")))</f>
        <v/>
      </c>
      <c r="V21" s="11"/>
    </row>
    <row r="22" customFormat="false" ht="15" hidden="false" customHeight="false" outlineLevel="0" collapsed="false">
      <c r="A22" s="10" t="str">
        <f aca="false">IF(C22="","",ROW()-3)</f>
        <v/>
      </c>
      <c r="B22" s="11"/>
      <c r="C22" s="11"/>
      <c r="D22" s="11"/>
      <c r="E22" s="11"/>
      <c r="F22" s="11"/>
      <c r="G22" s="11"/>
      <c r="H22" s="11"/>
      <c r="I22" s="11"/>
      <c r="J22" s="10" t="str">
        <f aca="false">IF(C22="","",N(H22)+N(I22))</f>
        <v/>
      </c>
      <c r="K22" s="10" t="str">
        <f aca="false">IF(C22="","",MIN(J22,پارامترها!$B$3))</f>
        <v/>
      </c>
      <c r="L22" s="10" t="str">
        <f aca="false">IF(C22="","",MAX(0,J22-پارامترها!$B$3))</f>
        <v/>
      </c>
      <c r="M22" s="11"/>
      <c r="N22" s="11"/>
      <c r="O22" s="11"/>
      <c r="P22" s="11"/>
      <c r="Q22" s="11"/>
      <c r="R22" s="12" t="str">
        <f aca="false">IF(OR(C22="",N(J22)=0),"",K22*2*(N(H22)*پارامترها!$B$4+N(I22)*پارامترها!$B$5)/J22)</f>
        <v/>
      </c>
      <c r="S22" s="12" t="str">
        <f aca="false">IF(C22="","",N(M22)*پارامترها!$B$6+N(N22)*پارامترها!$B$7+N(O22)*پارامترها!$B$8)</f>
        <v/>
      </c>
      <c r="T22" s="12" t="str">
        <f aca="false">IF(C22="","",N(R22)+N(S22))</f>
        <v/>
      </c>
      <c r="U22" s="10" t="str">
        <f aca="false">IF(C22="","",IF(P22&lt;&gt;"بله","ثبت نشده در HIS",IF(N(L22)&gt;0,"ثبت‌شده؛ مازاد بر سقف","ثبت‌شده")))</f>
        <v/>
      </c>
      <c r="V22" s="11"/>
    </row>
    <row r="23" customFormat="false" ht="15" hidden="false" customHeight="false" outlineLevel="0" collapsed="false">
      <c r="A23" s="10" t="str">
        <f aca="false">IF(C23="","",ROW()-3)</f>
        <v/>
      </c>
      <c r="B23" s="11"/>
      <c r="C23" s="11"/>
      <c r="D23" s="11"/>
      <c r="E23" s="11"/>
      <c r="F23" s="11"/>
      <c r="G23" s="11"/>
      <c r="H23" s="11"/>
      <c r="I23" s="11"/>
      <c r="J23" s="10" t="str">
        <f aca="false">IF(C23="","",N(H23)+N(I23))</f>
        <v/>
      </c>
      <c r="K23" s="10" t="str">
        <f aca="false">IF(C23="","",MIN(J23,پارامترها!$B$3))</f>
        <v/>
      </c>
      <c r="L23" s="10" t="str">
        <f aca="false">IF(C23="","",MAX(0,J23-پارامترها!$B$3))</f>
        <v/>
      </c>
      <c r="M23" s="11"/>
      <c r="N23" s="11"/>
      <c r="O23" s="11"/>
      <c r="P23" s="11"/>
      <c r="Q23" s="11"/>
      <c r="R23" s="12" t="str">
        <f aca="false">IF(OR(C23="",N(J23)=0),"",K23*2*(N(H23)*پارامترها!$B$4+N(I23)*پارامترها!$B$5)/J23)</f>
        <v/>
      </c>
      <c r="S23" s="12" t="str">
        <f aca="false">IF(C23="","",N(M23)*پارامترها!$B$6+N(N23)*پارامترها!$B$7+N(O23)*پارامترها!$B$8)</f>
        <v/>
      </c>
      <c r="T23" s="12" t="str">
        <f aca="false">IF(C23="","",N(R23)+N(S23))</f>
        <v/>
      </c>
      <c r="U23" s="10" t="str">
        <f aca="false">IF(C23="","",IF(P23&lt;&gt;"بله","ثبت نشده در HIS",IF(N(L23)&gt;0,"ثبت‌شده؛ مازاد بر سقف","ثبت‌شده")))</f>
        <v/>
      </c>
      <c r="V23" s="11"/>
    </row>
    <row r="24" customFormat="false" ht="15" hidden="false" customHeight="false" outlineLevel="0" collapsed="false">
      <c r="A24" s="10" t="str">
        <f aca="false">IF(C24="","",ROW()-3)</f>
        <v/>
      </c>
      <c r="B24" s="11"/>
      <c r="C24" s="11"/>
      <c r="D24" s="11"/>
      <c r="E24" s="11"/>
      <c r="F24" s="11"/>
      <c r="G24" s="11"/>
      <c r="H24" s="11"/>
      <c r="I24" s="11"/>
      <c r="J24" s="10" t="str">
        <f aca="false">IF(C24="","",N(H24)+N(I24))</f>
        <v/>
      </c>
      <c r="K24" s="10" t="str">
        <f aca="false">IF(C24="","",MIN(J24,پارامترها!$B$3))</f>
        <v/>
      </c>
      <c r="L24" s="10" t="str">
        <f aca="false">IF(C24="","",MAX(0,J24-پارامترها!$B$3))</f>
        <v/>
      </c>
      <c r="M24" s="11"/>
      <c r="N24" s="11"/>
      <c r="O24" s="11"/>
      <c r="P24" s="11"/>
      <c r="Q24" s="11"/>
      <c r="R24" s="12" t="str">
        <f aca="false">IF(OR(C24="",N(J24)=0),"",K24*2*(N(H24)*پارامترها!$B$4+N(I24)*پارامترها!$B$5)/J24)</f>
        <v/>
      </c>
      <c r="S24" s="12" t="str">
        <f aca="false">IF(C24="","",N(M24)*پارامترها!$B$6+N(N24)*پارامترها!$B$7+N(O24)*پارامترها!$B$8)</f>
        <v/>
      </c>
      <c r="T24" s="12" t="str">
        <f aca="false">IF(C24="","",N(R24)+N(S24))</f>
        <v/>
      </c>
      <c r="U24" s="10" t="str">
        <f aca="false">IF(C24="","",IF(P24&lt;&gt;"بله","ثبت نشده در HIS",IF(N(L24)&gt;0,"ثبت‌شده؛ مازاد بر سقف","ثبت‌شده")))</f>
        <v/>
      </c>
      <c r="V24" s="11"/>
    </row>
    <row r="25" customFormat="false" ht="15" hidden="false" customHeight="false" outlineLevel="0" collapsed="false">
      <c r="A25" s="10" t="str">
        <f aca="false">IF(C25="","",ROW()-3)</f>
        <v/>
      </c>
      <c r="B25" s="11"/>
      <c r="C25" s="11"/>
      <c r="D25" s="11"/>
      <c r="E25" s="11"/>
      <c r="F25" s="11"/>
      <c r="G25" s="11"/>
      <c r="H25" s="11"/>
      <c r="I25" s="11"/>
      <c r="J25" s="10" t="str">
        <f aca="false">IF(C25="","",N(H25)+N(I25))</f>
        <v/>
      </c>
      <c r="K25" s="10" t="str">
        <f aca="false">IF(C25="","",MIN(J25,پارامترها!$B$3))</f>
        <v/>
      </c>
      <c r="L25" s="10" t="str">
        <f aca="false">IF(C25="","",MAX(0,J25-پارامترها!$B$3))</f>
        <v/>
      </c>
      <c r="M25" s="11"/>
      <c r="N25" s="11"/>
      <c r="O25" s="11"/>
      <c r="P25" s="11"/>
      <c r="Q25" s="11"/>
      <c r="R25" s="12" t="str">
        <f aca="false">IF(OR(C25="",N(J25)=0),"",K25*2*(N(H25)*پارامترها!$B$4+N(I25)*پارامترها!$B$5)/J25)</f>
        <v/>
      </c>
      <c r="S25" s="12" t="str">
        <f aca="false">IF(C25="","",N(M25)*پارامترها!$B$6+N(N25)*پارامترها!$B$7+N(O25)*پارامترها!$B$8)</f>
        <v/>
      </c>
      <c r="T25" s="12" t="str">
        <f aca="false">IF(C25="","",N(R25)+N(S25))</f>
        <v/>
      </c>
      <c r="U25" s="10" t="str">
        <f aca="false">IF(C25="","",IF(P25&lt;&gt;"بله","ثبت نشده در HIS",IF(N(L25)&gt;0,"ثبت‌شده؛ مازاد بر سقف","ثبت‌شده")))</f>
        <v/>
      </c>
      <c r="V25" s="11"/>
    </row>
    <row r="26" customFormat="false" ht="15" hidden="false" customHeight="false" outlineLevel="0" collapsed="false">
      <c r="A26" s="10" t="str">
        <f aca="false">IF(C26="","",ROW()-3)</f>
        <v/>
      </c>
      <c r="B26" s="11"/>
      <c r="C26" s="11"/>
      <c r="D26" s="11"/>
      <c r="E26" s="11"/>
      <c r="F26" s="11"/>
      <c r="G26" s="11"/>
      <c r="H26" s="11"/>
      <c r="I26" s="11"/>
      <c r="J26" s="10" t="str">
        <f aca="false">IF(C26="","",N(H26)+N(I26))</f>
        <v/>
      </c>
      <c r="K26" s="10" t="str">
        <f aca="false">IF(C26="","",MIN(J26,پارامترها!$B$3))</f>
        <v/>
      </c>
      <c r="L26" s="10" t="str">
        <f aca="false">IF(C26="","",MAX(0,J26-پارامترها!$B$3))</f>
        <v/>
      </c>
      <c r="M26" s="11"/>
      <c r="N26" s="11"/>
      <c r="O26" s="11"/>
      <c r="P26" s="11"/>
      <c r="Q26" s="11"/>
      <c r="R26" s="12" t="str">
        <f aca="false">IF(OR(C26="",N(J26)=0),"",K26*2*(N(H26)*پارامترها!$B$4+N(I26)*پارامترها!$B$5)/J26)</f>
        <v/>
      </c>
      <c r="S26" s="12" t="str">
        <f aca="false">IF(C26="","",N(M26)*پارامترها!$B$6+N(N26)*پارامترها!$B$7+N(O26)*پارامترها!$B$8)</f>
        <v/>
      </c>
      <c r="T26" s="12" t="str">
        <f aca="false">IF(C26="","",N(R26)+N(S26))</f>
        <v/>
      </c>
      <c r="U26" s="10" t="str">
        <f aca="false">IF(C26="","",IF(P26&lt;&gt;"بله","ثبت نشده در HIS",IF(N(L26)&gt;0,"ثبت‌شده؛ مازاد بر سقف","ثبت‌شده")))</f>
        <v/>
      </c>
      <c r="V26" s="11"/>
    </row>
    <row r="27" customFormat="false" ht="15" hidden="false" customHeight="false" outlineLevel="0" collapsed="false">
      <c r="A27" s="10" t="str">
        <f aca="false">IF(C27="","",ROW()-3)</f>
        <v/>
      </c>
      <c r="B27" s="11"/>
      <c r="C27" s="11"/>
      <c r="D27" s="11"/>
      <c r="E27" s="11"/>
      <c r="F27" s="11"/>
      <c r="G27" s="11"/>
      <c r="H27" s="11"/>
      <c r="I27" s="11"/>
      <c r="J27" s="10" t="str">
        <f aca="false">IF(C27="","",N(H27)+N(I27))</f>
        <v/>
      </c>
      <c r="K27" s="10" t="str">
        <f aca="false">IF(C27="","",MIN(J27,پارامترها!$B$3))</f>
        <v/>
      </c>
      <c r="L27" s="10" t="str">
        <f aca="false">IF(C27="","",MAX(0,J27-پارامترها!$B$3))</f>
        <v/>
      </c>
      <c r="M27" s="11"/>
      <c r="N27" s="11"/>
      <c r="O27" s="11"/>
      <c r="P27" s="11"/>
      <c r="Q27" s="11"/>
      <c r="R27" s="12" t="str">
        <f aca="false">IF(OR(C27="",N(J27)=0),"",K27*2*(N(H27)*پارامترها!$B$4+N(I27)*پارامترها!$B$5)/J27)</f>
        <v/>
      </c>
      <c r="S27" s="12" t="str">
        <f aca="false">IF(C27="","",N(M27)*پارامترها!$B$6+N(N27)*پارامترها!$B$7+N(O27)*پارامترها!$B$8)</f>
        <v/>
      </c>
      <c r="T27" s="12" t="str">
        <f aca="false">IF(C27="","",N(R27)+N(S27))</f>
        <v/>
      </c>
      <c r="U27" s="10" t="str">
        <f aca="false">IF(C27="","",IF(P27&lt;&gt;"بله","ثبت نشده در HIS",IF(N(L27)&gt;0,"ثبت‌شده؛ مازاد بر سقف","ثبت‌شده")))</f>
        <v/>
      </c>
      <c r="V27" s="11"/>
    </row>
    <row r="28" customFormat="false" ht="15" hidden="false" customHeight="false" outlineLevel="0" collapsed="false">
      <c r="A28" s="10" t="str">
        <f aca="false">IF(C28="","",ROW()-3)</f>
        <v/>
      </c>
      <c r="B28" s="11"/>
      <c r="C28" s="11"/>
      <c r="D28" s="11"/>
      <c r="E28" s="11"/>
      <c r="F28" s="11"/>
      <c r="G28" s="11"/>
      <c r="H28" s="11"/>
      <c r="I28" s="11"/>
      <c r="J28" s="10" t="str">
        <f aca="false">IF(C28="","",N(H28)+N(I28))</f>
        <v/>
      </c>
      <c r="K28" s="10" t="str">
        <f aca="false">IF(C28="","",MIN(J28,پارامترها!$B$3))</f>
        <v/>
      </c>
      <c r="L28" s="10" t="str">
        <f aca="false">IF(C28="","",MAX(0,J28-پارامترها!$B$3))</f>
        <v/>
      </c>
      <c r="M28" s="11"/>
      <c r="N28" s="11"/>
      <c r="O28" s="11"/>
      <c r="P28" s="11"/>
      <c r="Q28" s="11"/>
      <c r="R28" s="12" t="str">
        <f aca="false">IF(OR(C28="",N(J28)=0),"",K28*2*(N(H28)*پارامترها!$B$4+N(I28)*پارامترها!$B$5)/J28)</f>
        <v/>
      </c>
      <c r="S28" s="12" t="str">
        <f aca="false">IF(C28="","",N(M28)*پارامترها!$B$6+N(N28)*پارامترها!$B$7+N(O28)*پارامترها!$B$8)</f>
        <v/>
      </c>
      <c r="T28" s="12" t="str">
        <f aca="false">IF(C28="","",N(R28)+N(S28))</f>
        <v/>
      </c>
      <c r="U28" s="10" t="str">
        <f aca="false">IF(C28="","",IF(P28&lt;&gt;"بله","ثبت نشده در HIS",IF(N(L28)&gt;0,"ثبت‌شده؛ مازاد بر سقف","ثبت‌شده")))</f>
        <v/>
      </c>
      <c r="V28" s="11"/>
    </row>
    <row r="29" customFormat="false" ht="15" hidden="false" customHeight="false" outlineLevel="0" collapsed="false">
      <c r="A29" s="10" t="str">
        <f aca="false">IF(C29="","",ROW()-3)</f>
        <v/>
      </c>
      <c r="B29" s="11"/>
      <c r="C29" s="11"/>
      <c r="D29" s="11"/>
      <c r="E29" s="11"/>
      <c r="F29" s="11"/>
      <c r="G29" s="11"/>
      <c r="H29" s="11"/>
      <c r="I29" s="11"/>
      <c r="J29" s="10" t="str">
        <f aca="false">IF(C29="","",N(H29)+N(I29))</f>
        <v/>
      </c>
      <c r="K29" s="10" t="str">
        <f aca="false">IF(C29="","",MIN(J29,پارامترها!$B$3))</f>
        <v/>
      </c>
      <c r="L29" s="10" t="str">
        <f aca="false">IF(C29="","",MAX(0,J29-پارامترها!$B$3))</f>
        <v/>
      </c>
      <c r="M29" s="11"/>
      <c r="N29" s="11"/>
      <c r="O29" s="11"/>
      <c r="P29" s="11"/>
      <c r="Q29" s="11"/>
      <c r="R29" s="12" t="str">
        <f aca="false">IF(OR(C29="",N(J29)=0),"",K29*2*(N(H29)*پارامترها!$B$4+N(I29)*پارامترها!$B$5)/J29)</f>
        <v/>
      </c>
      <c r="S29" s="12" t="str">
        <f aca="false">IF(C29="","",N(M29)*پارامترها!$B$6+N(N29)*پارامترها!$B$7+N(O29)*پارامترها!$B$8)</f>
        <v/>
      </c>
      <c r="T29" s="12" t="str">
        <f aca="false">IF(C29="","",N(R29)+N(S29))</f>
        <v/>
      </c>
      <c r="U29" s="10" t="str">
        <f aca="false">IF(C29="","",IF(P29&lt;&gt;"بله","ثبت نشده در HIS",IF(N(L29)&gt;0,"ثبت‌شده؛ مازاد بر سقف","ثبت‌شده")))</f>
        <v/>
      </c>
      <c r="V29" s="11"/>
    </row>
    <row r="30" customFormat="false" ht="15" hidden="false" customHeight="false" outlineLevel="0" collapsed="false">
      <c r="A30" s="10" t="str">
        <f aca="false">IF(C30="","",ROW()-3)</f>
        <v/>
      </c>
      <c r="B30" s="11"/>
      <c r="C30" s="11"/>
      <c r="D30" s="11"/>
      <c r="E30" s="11"/>
      <c r="F30" s="11"/>
      <c r="G30" s="11"/>
      <c r="H30" s="11"/>
      <c r="I30" s="11"/>
      <c r="J30" s="10" t="str">
        <f aca="false">IF(C30="","",N(H30)+N(I30))</f>
        <v/>
      </c>
      <c r="K30" s="10" t="str">
        <f aca="false">IF(C30="","",MIN(J30,پارامترها!$B$3))</f>
        <v/>
      </c>
      <c r="L30" s="10" t="str">
        <f aca="false">IF(C30="","",MAX(0,J30-پارامترها!$B$3))</f>
        <v/>
      </c>
      <c r="M30" s="11"/>
      <c r="N30" s="11"/>
      <c r="O30" s="11"/>
      <c r="P30" s="11"/>
      <c r="Q30" s="11"/>
      <c r="R30" s="12" t="str">
        <f aca="false">IF(OR(C30="",N(J30)=0),"",K30*2*(N(H30)*پارامترها!$B$4+N(I30)*پارامترها!$B$5)/J30)</f>
        <v/>
      </c>
      <c r="S30" s="12" t="str">
        <f aca="false">IF(C30="","",N(M30)*پارامترها!$B$6+N(N30)*پارامترها!$B$7+N(O30)*پارامترها!$B$8)</f>
        <v/>
      </c>
      <c r="T30" s="12" t="str">
        <f aca="false">IF(C30="","",N(R30)+N(S30))</f>
        <v/>
      </c>
      <c r="U30" s="10" t="str">
        <f aca="false">IF(C30="","",IF(P30&lt;&gt;"بله","ثبت نشده در HIS",IF(N(L30)&gt;0,"ثبت‌شده؛ مازاد بر سقف","ثبت‌شده")))</f>
        <v/>
      </c>
      <c r="V30" s="11"/>
    </row>
    <row r="31" customFormat="false" ht="15" hidden="false" customHeight="false" outlineLevel="0" collapsed="false">
      <c r="A31" s="10" t="str">
        <f aca="false">IF(C31="","",ROW()-3)</f>
        <v/>
      </c>
      <c r="B31" s="11"/>
      <c r="C31" s="11"/>
      <c r="D31" s="11"/>
      <c r="E31" s="11"/>
      <c r="F31" s="11"/>
      <c r="G31" s="11"/>
      <c r="H31" s="11"/>
      <c r="I31" s="11"/>
      <c r="J31" s="10" t="str">
        <f aca="false">IF(C31="","",N(H31)+N(I31))</f>
        <v/>
      </c>
      <c r="K31" s="10" t="str">
        <f aca="false">IF(C31="","",MIN(J31,پارامترها!$B$3))</f>
        <v/>
      </c>
      <c r="L31" s="10" t="str">
        <f aca="false">IF(C31="","",MAX(0,J31-پارامترها!$B$3))</f>
        <v/>
      </c>
      <c r="M31" s="11"/>
      <c r="N31" s="11"/>
      <c r="O31" s="11"/>
      <c r="P31" s="11"/>
      <c r="Q31" s="11"/>
      <c r="R31" s="12" t="str">
        <f aca="false">IF(OR(C31="",N(J31)=0),"",K31*2*(N(H31)*پارامترها!$B$4+N(I31)*پارامترها!$B$5)/J31)</f>
        <v/>
      </c>
      <c r="S31" s="12" t="str">
        <f aca="false">IF(C31="","",N(M31)*پارامترها!$B$6+N(N31)*پارامترها!$B$7+N(O31)*پارامترها!$B$8)</f>
        <v/>
      </c>
      <c r="T31" s="12" t="str">
        <f aca="false">IF(C31="","",N(R31)+N(S31))</f>
        <v/>
      </c>
      <c r="U31" s="10" t="str">
        <f aca="false">IF(C31="","",IF(P31&lt;&gt;"بله","ثبت نشده در HIS",IF(N(L31)&gt;0,"ثبت‌شده؛ مازاد بر سقف","ثبت‌شده")))</f>
        <v/>
      </c>
      <c r="V31" s="11"/>
    </row>
    <row r="32" customFormat="false" ht="15" hidden="false" customHeight="false" outlineLevel="0" collapsed="false">
      <c r="A32" s="10" t="str">
        <f aca="false">IF(C32="","",ROW()-3)</f>
        <v/>
      </c>
      <c r="B32" s="11"/>
      <c r="C32" s="11"/>
      <c r="D32" s="11"/>
      <c r="E32" s="11"/>
      <c r="F32" s="11"/>
      <c r="G32" s="11"/>
      <c r="H32" s="11"/>
      <c r="I32" s="11"/>
      <c r="J32" s="10" t="str">
        <f aca="false">IF(C32="","",N(H32)+N(I32))</f>
        <v/>
      </c>
      <c r="K32" s="10" t="str">
        <f aca="false">IF(C32="","",MIN(J32,پارامترها!$B$3))</f>
        <v/>
      </c>
      <c r="L32" s="10" t="str">
        <f aca="false">IF(C32="","",MAX(0,J32-پارامترها!$B$3))</f>
        <v/>
      </c>
      <c r="M32" s="11"/>
      <c r="N32" s="11"/>
      <c r="O32" s="11"/>
      <c r="P32" s="11"/>
      <c r="Q32" s="11"/>
      <c r="R32" s="12" t="str">
        <f aca="false">IF(OR(C32="",N(J32)=0),"",K32*2*(N(H32)*پارامترها!$B$4+N(I32)*پارامترها!$B$5)/J32)</f>
        <v/>
      </c>
      <c r="S32" s="12" t="str">
        <f aca="false">IF(C32="","",N(M32)*پارامترها!$B$6+N(N32)*پارامترها!$B$7+N(O32)*پارامترها!$B$8)</f>
        <v/>
      </c>
      <c r="T32" s="12" t="str">
        <f aca="false">IF(C32="","",N(R32)+N(S32))</f>
        <v/>
      </c>
      <c r="U32" s="10" t="str">
        <f aca="false">IF(C32="","",IF(P32&lt;&gt;"بله","ثبت نشده در HIS",IF(N(L32)&gt;0,"ثبت‌شده؛ مازاد بر سقف","ثبت‌شده")))</f>
        <v/>
      </c>
      <c r="V32" s="11"/>
    </row>
    <row r="33" customFormat="false" ht="15" hidden="false" customHeight="false" outlineLevel="0" collapsed="false">
      <c r="A33" s="10" t="str">
        <f aca="false">IF(C33="","",ROW()-3)</f>
        <v/>
      </c>
      <c r="B33" s="11"/>
      <c r="C33" s="11"/>
      <c r="D33" s="11"/>
      <c r="E33" s="11"/>
      <c r="F33" s="11"/>
      <c r="G33" s="11"/>
      <c r="H33" s="11"/>
      <c r="I33" s="11"/>
      <c r="J33" s="10" t="str">
        <f aca="false">IF(C33="","",N(H33)+N(I33))</f>
        <v/>
      </c>
      <c r="K33" s="10" t="str">
        <f aca="false">IF(C33="","",MIN(J33,پارامترها!$B$3))</f>
        <v/>
      </c>
      <c r="L33" s="10" t="str">
        <f aca="false">IF(C33="","",MAX(0,J33-پارامترها!$B$3))</f>
        <v/>
      </c>
      <c r="M33" s="11"/>
      <c r="N33" s="11"/>
      <c r="O33" s="11"/>
      <c r="P33" s="11"/>
      <c r="Q33" s="11"/>
      <c r="R33" s="12" t="str">
        <f aca="false">IF(OR(C33="",N(J33)=0),"",K33*2*(N(H33)*پارامترها!$B$4+N(I33)*پارامترها!$B$5)/J33)</f>
        <v/>
      </c>
      <c r="S33" s="12" t="str">
        <f aca="false">IF(C33="","",N(M33)*پارامترها!$B$6+N(N33)*پارامترها!$B$7+N(O33)*پارامترها!$B$8)</f>
        <v/>
      </c>
      <c r="T33" s="12" t="str">
        <f aca="false">IF(C33="","",N(R33)+N(S33))</f>
        <v/>
      </c>
      <c r="U33" s="10" t="str">
        <f aca="false">IF(C33="","",IF(P33&lt;&gt;"بله","ثبت نشده در HIS",IF(N(L33)&gt;0,"ثبت‌شده؛ مازاد بر سقف","ثبت‌شده")))</f>
        <v/>
      </c>
      <c r="V33" s="11"/>
    </row>
    <row r="34" customFormat="false" ht="15" hidden="false" customHeight="false" outlineLevel="0" collapsed="false">
      <c r="A34" s="10" t="str">
        <f aca="false">IF(C34="","",ROW()-3)</f>
        <v/>
      </c>
      <c r="B34" s="11"/>
      <c r="C34" s="11"/>
      <c r="D34" s="11"/>
      <c r="E34" s="11"/>
      <c r="F34" s="11"/>
      <c r="G34" s="11"/>
      <c r="H34" s="11"/>
      <c r="I34" s="11"/>
      <c r="J34" s="10" t="str">
        <f aca="false">IF(C34="","",N(H34)+N(I34))</f>
        <v/>
      </c>
      <c r="K34" s="10" t="str">
        <f aca="false">IF(C34="","",MIN(J34,پارامترها!$B$3))</f>
        <v/>
      </c>
      <c r="L34" s="10" t="str">
        <f aca="false">IF(C34="","",MAX(0,J34-پارامترها!$B$3))</f>
        <v/>
      </c>
      <c r="M34" s="11"/>
      <c r="N34" s="11"/>
      <c r="O34" s="11"/>
      <c r="P34" s="11"/>
      <c r="Q34" s="11"/>
      <c r="R34" s="12" t="str">
        <f aca="false">IF(OR(C34="",N(J34)=0),"",K34*2*(N(H34)*پارامترها!$B$4+N(I34)*پارامترها!$B$5)/J34)</f>
        <v/>
      </c>
      <c r="S34" s="12" t="str">
        <f aca="false">IF(C34="","",N(M34)*پارامترها!$B$6+N(N34)*پارامترها!$B$7+N(O34)*پارامترها!$B$8)</f>
        <v/>
      </c>
      <c r="T34" s="12" t="str">
        <f aca="false">IF(C34="","",N(R34)+N(S34))</f>
        <v/>
      </c>
      <c r="U34" s="10" t="str">
        <f aca="false">IF(C34="","",IF(P34&lt;&gt;"بله","ثبت نشده در HIS",IF(N(L34)&gt;0,"ثبت‌شده؛ مازاد بر سقف","ثبت‌شده")))</f>
        <v/>
      </c>
      <c r="V34" s="11"/>
    </row>
    <row r="35" customFormat="false" ht="15" hidden="false" customHeight="false" outlineLevel="0" collapsed="false">
      <c r="A35" s="10" t="str">
        <f aca="false">IF(C35="","",ROW()-3)</f>
        <v/>
      </c>
      <c r="B35" s="11"/>
      <c r="C35" s="11"/>
      <c r="D35" s="11"/>
      <c r="E35" s="11"/>
      <c r="F35" s="11"/>
      <c r="G35" s="11"/>
      <c r="H35" s="11"/>
      <c r="I35" s="11"/>
      <c r="J35" s="10" t="str">
        <f aca="false">IF(C35="","",N(H35)+N(I35))</f>
        <v/>
      </c>
      <c r="K35" s="10" t="str">
        <f aca="false">IF(C35="","",MIN(J35,پارامترها!$B$3))</f>
        <v/>
      </c>
      <c r="L35" s="10" t="str">
        <f aca="false">IF(C35="","",MAX(0,J35-پارامترها!$B$3))</f>
        <v/>
      </c>
      <c r="M35" s="11"/>
      <c r="N35" s="11"/>
      <c r="O35" s="11"/>
      <c r="P35" s="11"/>
      <c r="Q35" s="11"/>
      <c r="R35" s="12" t="str">
        <f aca="false">IF(OR(C35="",N(J35)=0),"",K35*2*(N(H35)*پارامترها!$B$4+N(I35)*پارامترها!$B$5)/J35)</f>
        <v/>
      </c>
      <c r="S35" s="12" t="str">
        <f aca="false">IF(C35="","",N(M35)*پارامترها!$B$6+N(N35)*پارامترها!$B$7+N(O35)*پارامترها!$B$8)</f>
        <v/>
      </c>
      <c r="T35" s="12" t="str">
        <f aca="false">IF(C35="","",N(R35)+N(S35))</f>
        <v/>
      </c>
      <c r="U35" s="10" t="str">
        <f aca="false">IF(C35="","",IF(P35&lt;&gt;"بله","ثبت نشده در HIS",IF(N(L35)&gt;0,"ثبت‌شده؛ مازاد بر سقف","ثبت‌شده")))</f>
        <v/>
      </c>
      <c r="V35" s="11"/>
    </row>
    <row r="36" customFormat="false" ht="15" hidden="false" customHeight="false" outlineLevel="0" collapsed="false">
      <c r="A36" s="10" t="str">
        <f aca="false">IF(C36="","",ROW()-3)</f>
        <v/>
      </c>
      <c r="B36" s="11"/>
      <c r="C36" s="11"/>
      <c r="D36" s="11"/>
      <c r="E36" s="11"/>
      <c r="F36" s="11"/>
      <c r="G36" s="11"/>
      <c r="H36" s="11"/>
      <c r="I36" s="11"/>
      <c r="J36" s="10" t="str">
        <f aca="false">IF(C36="","",N(H36)+N(I36))</f>
        <v/>
      </c>
      <c r="K36" s="10" t="str">
        <f aca="false">IF(C36="","",MIN(J36,پارامترها!$B$3))</f>
        <v/>
      </c>
      <c r="L36" s="10" t="str">
        <f aca="false">IF(C36="","",MAX(0,J36-پارامترها!$B$3))</f>
        <v/>
      </c>
      <c r="M36" s="11"/>
      <c r="N36" s="11"/>
      <c r="O36" s="11"/>
      <c r="P36" s="11"/>
      <c r="Q36" s="11"/>
      <c r="R36" s="12" t="str">
        <f aca="false">IF(OR(C36="",N(J36)=0),"",K36*2*(N(H36)*پارامترها!$B$4+N(I36)*پارامترها!$B$5)/J36)</f>
        <v/>
      </c>
      <c r="S36" s="12" t="str">
        <f aca="false">IF(C36="","",N(M36)*پارامترها!$B$6+N(N36)*پارامترها!$B$7+N(O36)*پارامترها!$B$8)</f>
        <v/>
      </c>
      <c r="T36" s="12" t="str">
        <f aca="false">IF(C36="","",N(R36)+N(S36))</f>
        <v/>
      </c>
      <c r="U36" s="10" t="str">
        <f aca="false">IF(C36="","",IF(P36&lt;&gt;"بله","ثبت نشده در HIS",IF(N(L36)&gt;0,"ثبت‌شده؛ مازاد بر سقف","ثبت‌شده")))</f>
        <v/>
      </c>
      <c r="V36" s="11"/>
    </row>
    <row r="37" customFormat="false" ht="15" hidden="false" customHeight="false" outlineLevel="0" collapsed="false">
      <c r="A37" s="10" t="str">
        <f aca="false">IF(C37="","",ROW()-3)</f>
        <v/>
      </c>
      <c r="B37" s="11"/>
      <c r="C37" s="11"/>
      <c r="D37" s="11"/>
      <c r="E37" s="11"/>
      <c r="F37" s="11"/>
      <c r="G37" s="11"/>
      <c r="H37" s="11"/>
      <c r="I37" s="11"/>
      <c r="J37" s="10" t="str">
        <f aca="false">IF(C37="","",N(H37)+N(I37))</f>
        <v/>
      </c>
      <c r="K37" s="10" t="str">
        <f aca="false">IF(C37="","",MIN(J37,پارامترها!$B$3))</f>
        <v/>
      </c>
      <c r="L37" s="10" t="str">
        <f aca="false">IF(C37="","",MAX(0,J37-پارامترها!$B$3))</f>
        <v/>
      </c>
      <c r="M37" s="11"/>
      <c r="N37" s="11"/>
      <c r="O37" s="11"/>
      <c r="P37" s="11"/>
      <c r="Q37" s="11"/>
      <c r="R37" s="12" t="str">
        <f aca="false">IF(OR(C37="",N(J37)=0),"",K37*2*(N(H37)*پارامترها!$B$4+N(I37)*پارامترها!$B$5)/J37)</f>
        <v/>
      </c>
      <c r="S37" s="12" t="str">
        <f aca="false">IF(C37="","",N(M37)*پارامترها!$B$6+N(N37)*پارامترها!$B$7+N(O37)*پارامترها!$B$8)</f>
        <v/>
      </c>
      <c r="T37" s="12" t="str">
        <f aca="false">IF(C37="","",N(R37)+N(S37))</f>
        <v/>
      </c>
      <c r="U37" s="10" t="str">
        <f aca="false">IF(C37="","",IF(P37&lt;&gt;"بله","ثبت نشده در HIS",IF(N(L37)&gt;0,"ثبت‌شده؛ مازاد بر سقف","ثبت‌شده")))</f>
        <v/>
      </c>
      <c r="V37" s="11"/>
    </row>
    <row r="38" customFormat="false" ht="15" hidden="false" customHeight="false" outlineLevel="0" collapsed="false">
      <c r="A38" s="10" t="str">
        <f aca="false">IF(C38="","",ROW()-3)</f>
        <v/>
      </c>
      <c r="B38" s="11"/>
      <c r="C38" s="11"/>
      <c r="D38" s="11"/>
      <c r="E38" s="11"/>
      <c r="F38" s="11"/>
      <c r="G38" s="11"/>
      <c r="H38" s="11"/>
      <c r="I38" s="11"/>
      <c r="J38" s="10" t="str">
        <f aca="false">IF(C38="","",N(H38)+N(I38))</f>
        <v/>
      </c>
      <c r="K38" s="10" t="str">
        <f aca="false">IF(C38="","",MIN(J38,پارامترها!$B$3))</f>
        <v/>
      </c>
      <c r="L38" s="10" t="str">
        <f aca="false">IF(C38="","",MAX(0,J38-پارامترها!$B$3))</f>
        <v/>
      </c>
      <c r="M38" s="11"/>
      <c r="N38" s="11"/>
      <c r="O38" s="11"/>
      <c r="P38" s="11"/>
      <c r="Q38" s="11"/>
      <c r="R38" s="12" t="str">
        <f aca="false">IF(OR(C38="",N(J38)=0),"",K38*2*(N(H38)*پارامترها!$B$4+N(I38)*پارامترها!$B$5)/J38)</f>
        <v/>
      </c>
      <c r="S38" s="12" t="str">
        <f aca="false">IF(C38="","",N(M38)*پارامترها!$B$6+N(N38)*پارامترها!$B$7+N(O38)*پارامترها!$B$8)</f>
        <v/>
      </c>
      <c r="T38" s="12" t="str">
        <f aca="false">IF(C38="","",N(R38)+N(S38))</f>
        <v/>
      </c>
      <c r="U38" s="10" t="str">
        <f aca="false">IF(C38="","",IF(P38&lt;&gt;"بله","ثبت نشده در HIS",IF(N(L38)&gt;0,"ثبت‌شده؛ مازاد بر سقف","ثبت‌شده")))</f>
        <v/>
      </c>
      <c r="V38" s="11"/>
    </row>
    <row r="39" customFormat="false" ht="15" hidden="false" customHeight="false" outlineLevel="0" collapsed="false">
      <c r="A39" s="10" t="str">
        <f aca="false">IF(C39="","",ROW()-3)</f>
        <v/>
      </c>
      <c r="B39" s="11"/>
      <c r="C39" s="11"/>
      <c r="D39" s="11"/>
      <c r="E39" s="11"/>
      <c r="F39" s="11"/>
      <c r="G39" s="11"/>
      <c r="H39" s="11"/>
      <c r="I39" s="11"/>
      <c r="J39" s="10" t="str">
        <f aca="false">IF(C39="","",N(H39)+N(I39))</f>
        <v/>
      </c>
      <c r="K39" s="10" t="str">
        <f aca="false">IF(C39="","",MIN(J39,پارامترها!$B$3))</f>
        <v/>
      </c>
      <c r="L39" s="10" t="str">
        <f aca="false">IF(C39="","",MAX(0,J39-پارامترها!$B$3))</f>
        <v/>
      </c>
      <c r="M39" s="11"/>
      <c r="N39" s="11"/>
      <c r="O39" s="11"/>
      <c r="P39" s="11"/>
      <c r="Q39" s="11"/>
      <c r="R39" s="12" t="str">
        <f aca="false">IF(OR(C39="",N(J39)=0),"",K39*2*(N(H39)*پارامترها!$B$4+N(I39)*پارامترها!$B$5)/J39)</f>
        <v/>
      </c>
      <c r="S39" s="12" t="str">
        <f aca="false">IF(C39="","",N(M39)*پارامترها!$B$6+N(N39)*پارامترها!$B$7+N(O39)*پارامترها!$B$8)</f>
        <v/>
      </c>
      <c r="T39" s="12" t="str">
        <f aca="false">IF(C39="","",N(R39)+N(S39))</f>
        <v/>
      </c>
      <c r="U39" s="10" t="str">
        <f aca="false">IF(C39="","",IF(P39&lt;&gt;"بله","ثبت نشده در HIS",IF(N(L39)&gt;0,"ثبت‌شده؛ مازاد بر سقف","ثبت‌شده")))</f>
        <v/>
      </c>
      <c r="V39" s="11"/>
    </row>
    <row r="40" customFormat="false" ht="15" hidden="false" customHeight="false" outlineLevel="0" collapsed="false">
      <c r="A40" s="10" t="str">
        <f aca="false">IF(C40="","",ROW()-3)</f>
        <v/>
      </c>
      <c r="B40" s="11"/>
      <c r="C40" s="11"/>
      <c r="D40" s="11"/>
      <c r="E40" s="11"/>
      <c r="F40" s="11"/>
      <c r="G40" s="11"/>
      <c r="H40" s="11"/>
      <c r="I40" s="11"/>
      <c r="J40" s="10" t="str">
        <f aca="false">IF(C40="","",N(H40)+N(I40))</f>
        <v/>
      </c>
      <c r="K40" s="10" t="str">
        <f aca="false">IF(C40="","",MIN(J40,پارامترها!$B$3))</f>
        <v/>
      </c>
      <c r="L40" s="10" t="str">
        <f aca="false">IF(C40="","",MAX(0,J40-پارامترها!$B$3))</f>
        <v/>
      </c>
      <c r="M40" s="11"/>
      <c r="N40" s="11"/>
      <c r="O40" s="11"/>
      <c r="P40" s="11"/>
      <c r="Q40" s="11"/>
      <c r="R40" s="12" t="str">
        <f aca="false">IF(OR(C40="",N(J40)=0),"",K40*2*(N(H40)*پارامترها!$B$4+N(I40)*پارامترها!$B$5)/J40)</f>
        <v/>
      </c>
      <c r="S40" s="12" t="str">
        <f aca="false">IF(C40="","",N(M40)*پارامترها!$B$6+N(N40)*پارامترها!$B$7+N(O40)*پارامترها!$B$8)</f>
        <v/>
      </c>
      <c r="T40" s="12" t="str">
        <f aca="false">IF(C40="","",N(R40)+N(S40))</f>
        <v/>
      </c>
      <c r="U40" s="10" t="str">
        <f aca="false">IF(C40="","",IF(P40&lt;&gt;"بله","ثبت نشده در HIS",IF(N(L40)&gt;0,"ثبت‌شده؛ مازاد بر سقف","ثبت‌شده")))</f>
        <v/>
      </c>
      <c r="V40" s="11"/>
    </row>
    <row r="41" customFormat="false" ht="15" hidden="false" customHeight="false" outlineLevel="0" collapsed="false">
      <c r="A41" s="10" t="str">
        <f aca="false">IF(C41="","",ROW()-3)</f>
        <v/>
      </c>
      <c r="B41" s="11"/>
      <c r="C41" s="11"/>
      <c r="D41" s="11"/>
      <c r="E41" s="11"/>
      <c r="F41" s="11"/>
      <c r="G41" s="11"/>
      <c r="H41" s="11"/>
      <c r="I41" s="11"/>
      <c r="J41" s="10" t="str">
        <f aca="false">IF(C41="","",N(H41)+N(I41))</f>
        <v/>
      </c>
      <c r="K41" s="10" t="str">
        <f aca="false">IF(C41="","",MIN(J41,پارامترها!$B$3))</f>
        <v/>
      </c>
      <c r="L41" s="10" t="str">
        <f aca="false">IF(C41="","",MAX(0,J41-پارامترها!$B$3))</f>
        <v/>
      </c>
      <c r="M41" s="11"/>
      <c r="N41" s="11"/>
      <c r="O41" s="11"/>
      <c r="P41" s="11"/>
      <c r="Q41" s="11"/>
      <c r="R41" s="12" t="str">
        <f aca="false">IF(OR(C41="",N(J41)=0),"",K41*2*(N(H41)*پارامترها!$B$4+N(I41)*پارامترها!$B$5)/J41)</f>
        <v/>
      </c>
      <c r="S41" s="12" t="str">
        <f aca="false">IF(C41="","",N(M41)*پارامترها!$B$6+N(N41)*پارامترها!$B$7+N(O41)*پارامترها!$B$8)</f>
        <v/>
      </c>
      <c r="T41" s="12" t="str">
        <f aca="false">IF(C41="","",N(R41)+N(S41))</f>
        <v/>
      </c>
      <c r="U41" s="10" t="str">
        <f aca="false">IF(C41="","",IF(P41&lt;&gt;"بله","ثبت نشده در HIS",IF(N(L41)&gt;0,"ثبت‌شده؛ مازاد بر سقف","ثبت‌شده")))</f>
        <v/>
      </c>
      <c r="V41" s="11"/>
    </row>
    <row r="42" customFormat="false" ht="15" hidden="false" customHeight="false" outlineLevel="0" collapsed="false">
      <c r="A42" s="10" t="str">
        <f aca="false">IF(C42="","",ROW()-3)</f>
        <v/>
      </c>
      <c r="B42" s="11"/>
      <c r="C42" s="11"/>
      <c r="D42" s="11"/>
      <c r="E42" s="11"/>
      <c r="F42" s="11"/>
      <c r="G42" s="11"/>
      <c r="H42" s="11"/>
      <c r="I42" s="11"/>
      <c r="J42" s="10" t="str">
        <f aca="false">IF(C42="","",N(H42)+N(I42))</f>
        <v/>
      </c>
      <c r="K42" s="10" t="str">
        <f aca="false">IF(C42="","",MIN(J42,پارامترها!$B$3))</f>
        <v/>
      </c>
      <c r="L42" s="10" t="str">
        <f aca="false">IF(C42="","",MAX(0,J42-پارامترها!$B$3))</f>
        <v/>
      </c>
      <c r="M42" s="11"/>
      <c r="N42" s="11"/>
      <c r="O42" s="11"/>
      <c r="P42" s="11"/>
      <c r="Q42" s="11"/>
      <c r="R42" s="12" t="str">
        <f aca="false">IF(OR(C42="",N(J42)=0),"",K42*2*(N(H42)*پارامترها!$B$4+N(I42)*پارامترها!$B$5)/J42)</f>
        <v/>
      </c>
      <c r="S42" s="12" t="str">
        <f aca="false">IF(C42="","",N(M42)*پارامترها!$B$6+N(N42)*پارامترها!$B$7+N(O42)*پارامترها!$B$8)</f>
        <v/>
      </c>
      <c r="T42" s="12" t="str">
        <f aca="false">IF(C42="","",N(R42)+N(S42))</f>
        <v/>
      </c>
      <c r="U42" s="10" t="str">
        <f aca="false">IF(C42="","",IF(P42&lt;&gt;"بله","ثبت نشده در HIS",IF(N(L42)&gt;0,"ثبت‌شده؛ مازاد بر سقف","ثبت‌شده")))</f>
        <v/>
      </c>
      <c r="V42" s="11"/>
    </row>
    <row r="43" customFormat="false" ht="15" hidden="false" customHeight="false" outlineLevel="0" collapsed="false">
      <c r="A43" s="10" t="str">
        <f aca="false">IF(C43="","",ROW()-3)</f>
        <v/>
      </c>
      <c r="B43" s="11"/>
      <c r="C43" s="11"/>
      <c r="D43" s="11"/>
      <c r="E43" s="11"/>
      <c r="F43" s="11"/>
      <c r="G43" s="11"/>
      <c r="H43" s="11"/>
      <c r="I43" s="11"/>
      <c r="J43" s="10" t="str">
        <f aca="false">IF(C43="","",N(H43)+N(I43))</f>
        <v/>
      </c>
      <c r="K43" s="10" t="str">
        <f aca="false">IF(C43="","",MIN(J43,پارامترها!$B$3))</f>
        <v/>
      </c>
      <c r="L43" s="10" t="str">
        <f aca="false">IF(C43="","",MAX(0,J43-پارامترها!$B$3))</f>
        <v/>
      </c>
      <c r="M43" s="11"/>
      <c r="N43" s="11"/>
      <c r="O43" s="11"/>
      <c r="P43" s="11"/>
      <c r="Q43" s="11"/>
      <c r="R43" s="12" t="str">
        <f aca="false">IF(OR(C43="",N(J43)=0),"",K43*2*(N(H43)*پارامترها!$B$4+N(I43)*پارامترها!$B$5)/J43)</f>
        <v/>
      </c>
      <c r="S43" s="12" t="str">
        <f aca="false">IF(C43="","",N(M43)*پارامترها!$B$6+N(N43)*پارامترها!$B$7+N(O43)*پارامترها!$B$8)</f>
        <v/>
      </c>
      <c r="T43" s="12" t="str">
        <f aca="false">IF(C43="","",N(R43)+N(S43))</f>
        <v/>
      </c>
      <c r="U43" s="10" t="str">
        <f aca="false">IF(C43="","",IF(P43&lt;&gt;"بله","ثبت نشده در HIS",IF(N(L43)&gt;0,"ثبت‌شده؛ مازاد بر سقف","ثبت‌شده")))</f>
        <v/>
      </c>
      <c r="V43" s="11"/>
    </row>
    <row r="44" customFormat="false" ht="15" hidden="false" customHeight="false" outlineLevel="0" collapsed="false">
      <c r="A44" s="10" t="str">
        <f aca="false">IF(C44="","",ROW()-3)</f>
        <v/>
      </c>
      <c r="B44" s="11"/>
      <c r="C44" s="11"/>
      <c r="D44" s="11"/>
      <c r="E44" s="11"/>
      <c r="F44" s="11"/>
      <c r="G44" s="11"/>
      <c r="H44" s="11"/>
      <c r="I44" s="11"/>
      <c r="J44" s="10" t="str">
        <f aca="false">IF(C44="","",N(H44)+N(I44))</f>
        <v/>
      </c>
      <c r="K44" s="10" t="str">
        <f aca="false">IF(C44="","",MIN(J44,پارامترها!$B$3))</f>
        <v/>
      </c>
      <c r="L44" s="10" t="str">
        <f aca="false">IF(C44="","",MAX(0,J44-پارامترها!$B$3))</f>
        <v/>
      </c>
      <c r="M44" s="11"/>
      <c r="N44" s="11"/>
      <c r="O44" s="11"/>
      <c r="P44" s="11"/>
      <c r="Q44" s="11"/>
      <c r="R44" s="12" t="str">
        <f aca="false">IF(OR(C44="",N(J44)=0),"",K44*2*(N(H44)*پارامترها!$B$4+N(I44)*پارامترها!$B$5)/J44)</f>
        <v/>
      </c>
      <c r="S44" s="12" t="str">
        <f aca="false">IF(C44="","",N(M44)*پارامترها!$B$6+N(N44)*پارامترها!$B$7+N(O44)*پارامترها!$B$8)</f>
        <v/>
      </c>
      <c r="T44" s="12" t="str">
        <f aca="false">IF(C44="","",N(R44)+N(S44))</f>
        <v/>
      </c>
      <c r="U44" s="10" t="str">
        <f aca="false">IF(C44="","",IF(P44&lt;&gt;"بله","ثبت نشده در HIS",IF(N(L44)&gt;0,"ثبت‌شده؛ مازاد بر سقف","ثبت‌شده")))</f>
        <v/>
      </c>
      <c r="V44" s="11"/>
    </row>
    <row r="45" customFormat="false" ht="15" hidden="false" customHeight="false" outlineLevel="0" collapsed="false">
      <c r="A45" s="10" t="str">
        <f aca="false">IF(C45="","",ROW()-3)</f>
        <v/>
      </c>
      <c r="B45" s="11"/>
      <c r="C45" s="11"/>
      <c r="D45" s="11"/>
      <c r="E45" s="11"/>
      <c r="F45" s="11"/>
      <c r="G45" s="11"/>
      <c r="H45" s="11"/>
      <c r="I45" s="11"/>
      <c r="J45" s="10" t="str">
        <f aca="false">IF(C45="","",N(H45)+N(I45))</f>
        <v/>
      </c>
      <c r="K45" s="10" t="str">
        <f aca="false">IF(C45="","",MIN(J45,پارامترها!$B$3))</f>
        <v/>
      </c>
      <c r="L45" s="10" t="str">
        <f aca="false">IF(C45="","",MAX(0,J45-پارامترها!$B$3))</f>
        <v/>
      </c>
      <c r="M45" s="11"/>
      <c r="N45" s="11"/>
      <c r="O45" s="11"/>
      <c r="P45" s="11"/>
      <c r="Q45" s="11"/>
      <c r="R45" s="12" t="str">
        <f aca="false">IF(OR(C45="",N(J45)=0),"",K45*2*(N(H45)*پارامترها!$B$4+N(I45)*پارامترها!$B$5)/J45)</f>
        <v/>
      </c>
      <c r="S45" s="12" t="str">
        <f aca="false">IF(C45="","",N(M45)*پارامترها!$B$6+N(N45)*پارامترها!$B$7+N(O45)*پارامترها!$B$8)</f>
        <v/>
      </c>
      <c r="T45" s="12" t="str">
        <f aca="false">IF(C45="","",N(R45)+N(S45))</f>
        <v/>
      </c>
      <c r="U45" s="10" t="str">
        <f aca="false">IF(C45="","",IF(P45&lt;&gt;"بله","ثبت نشده در HIS",IF(N(L45)&gt;0,"ثبت‌شده؛ مازاد بر سقف","ثبت‌شده")))</f>
        <v/>
      </c>
      <c r="V45" s="11"/>
    </row>
    <row r="46" customFormat="false" ht="15" hidden="false" customHeight="false" outlineLevel="0" collapsed="false">
      <c r="A46" s="10" t="str">
        <f aca="false">IF(C46="","",ROW()-3)</f>
        <v/>
      </c>
      <c r="B46" s="11"/>
      <c r="C46" s="11"/>
      <c r="D46" s="11"/>
      <c r="E46" s="11"/>
      <c r="F46" s="11"/>
      <c r="G46" s="11"/>
      <c r="H46" s="11"/>
      <c r="I46" s="11"/>
      <c r="J46" s="10" t="str">
        <f aca="false">IF(C46="","",N(H46)+N(I46))</f>
        <v/>
      </c>
      <c r="K46" s="10" t="str">
        <f aca="false">IF(C46="","",MIN(J46,پارامترها!$B$3))</f>
        <v/>
      </c>
      <c r="L46" s="10" t="str">
        <f aca="false">IF(C46="","",MAX(0,J46-پارامترها!$B$3))</f>
        <v/>
      </c>
      <c r="M46" s="11"/>
      <c r="N46" s="11"/>
      <c r="O46" s="11"/>
      <c r="P46" s="11"/>
      <c r="Q46" s="11"/>
      <c r="R46" s="12" t="str">
        <f aca="false">IF(OR(C46="",N(J46)=0),"",K46*2*(N(H46)*پارامترها!$B$4+N(I46)*پارامترها!$B$5)/J46)</f>
        <v/>
      </c>
      <c r="S46" s="12" t="str">
        <f aca="false">IF(C46="","",N(M46)*پارامترها!$B$6+N(N46)*پارامترها!$B$7+N(O46)*پارامترها!$B$8)</f>
        <v/>
      </c>
      <c r="T46" s="12" t="str">
        <f aca="false">IF(C46="","",N(R46)+N(S46))</f>
        <v/>
      </c>
      <c r="U46" s="10" t="str">
        <f aca="false">IF(C46="","",IF(P46&lt;&gt;"بله","ثبت نشده در HIS",IF(N(L46)&gt;0,"ثبت‌شده؛ مازاد بر سقف","ثبت‌شده")))</f>
        <v/>
      </c>
      <c r="V46" s="11"/>
    </row>
    <row r="47" customFormat="false" ht="15" hidden="false" customHeight="false" outlineLevel="0" collapsed="false">
      <c r="A47" s="10" t="str">
        <f aca="false">IF(C47="","",ROW()-3)</f>
        <v/>
      </c>
      <c r="B47" s="11"/>
      <c r="C47" s="11"/>
      <c r="D47" s="11"/>
      <c r="E47" s="11"/>
      <c r="F47" s="11"/>
      <c r="G47" s="11"/>
      <c r="H47" s="11"/>
      <c r="I47" s="11"/>
      <c r="J47" s="10" t="str">
        <f aca="false">IF(C47="","",N(H47)+N(I47))</f>
        <v/>
      </c>
      <c r="K47" s="10" t="str">
        <f aca="false">IF(C47="","",MIN(J47,پارامترها!$B$3))</f>
        <v/>
      </c>
      <c r="L47" s="10" t="str">
        <f aca="false">IF(C47="","",MAX(0,J47-پارامترها!$B$3))</f>
        <v/>
      </c>
      <c r="M47" s="11"/>
      <c r="N47" s="11"/>
      <c r="O47" s="11"/>
      <c r="P47" s="11"/>
      <c r="Q47" s="11"/>
      <c r="R47" s="12" t="str">
        <f aca="false">IF(OR(C47="",N(J47)=0),"",K47*2*(N(H47)*پارامترها!$B$4+N(I47)*پارامترها!$B$5)/J47)</f>
        <v/>
      </c>
      <c r="S47" s="12" t="str">
        <f aca="false">IF(C47="","",N(M47)*پارامترها!$B$6+N(N47)*پارامترها!$B$7+N(O47)*پارامترها!$B$8)</f>
        <v/>
      </c>
      <c r="T47" s="12" t="str">
        <f aca="false">IF(C47="","",N(R47)+N(S47))</f>
        <v/>
      </c>
      <c r="U47" s="10" t="str">
        <f aca="false">IF(C47="","",IF(P47&lt;&gt;"بله","ثبت نشده در HIS",IF(N(L47)&gt;0,"ثبت‌شده؛ مازاد بر سقف","ثبت‌شده")))</f>
        <v/>
      </c>
      <c r="V47" s="11"/>
    </row>
    <row r="48" customFormat="false" ht="15" hidden="false" customHeight="false" outlineLevel="0" collapsed="false">
      <c r="A48" s="10" t="str">
        <f aca="false">IF(C48="","",ROW()-3)</f>
        <v/>
      </c>
      <c r="B48" s="11"/>
      <c r="C48" s="11"/>
      <c r="D48" s="11"/>
      <c r="E48" s="11"/>
      <c r="F48" s="11"/>
      <c r="G48" s="11"/>
      <c r="H48" s="11"/>
      <c r="I48" s="11"/>
      <c r="J48" s="10" t="str">
        <f aca="false">IF(C48="","",N(H48)+N(I48))</f>
        <v/>
      </c>
      <c r="K48" s="10" t="str">
        <f aca="false">IF(C48="","",MIN(J48,پارامترها!$B$3))</f>
        <v/>
      </c>
      <c r="L48" s="10" t="str">
        <f aca="false">IF(C48="","",MAX(0,J48-پارامترها!$B$3))</f>
        <v/>
      </c>
      <c r="M48" s="11"/>
      <c r="N48" s="11"/>
      <c r="O48" s="11"/>
      <c r="P48" s="11"/>
      <c r="Q48" s="11"/>
      <c r="R48" s="12" t="str">
        <f aca="false">IF(OR(C48="",N(J48)=0),"",K48*2*(N(H48)*پارامترها!$B$4+N(I48)*پارامترها!$B$5)/J48)</f>
        <v/>
      </c>
      <c r="S48" s="12" t="str">
        <f aca="false">IF(C48="","",N(M48)*پارامترها!$B$6+N(N48)*پارامترها!$B$7+N(O48)*پارامترها!$B$8)</f>
        <v/>
      </c>
      <c r="T48" s="12" t="str">
        <f aca="false">IF(C48="","",N(R48)+N(S48))</f>
        <v/>
      </c>
      <c r="U48" s="10" t="str">
        <f aca="false">IF(C48="","",IF(P48&lt;&gt;"بله","ثبت نشده در HIS",IF(N(L48)&gt;0,"ثبت‌شده؛ مازاد بر سقف","ثبت‌شده")))</f>
        <v/>
      </c>
      <c r="V48" s="11"/>
    </row>
    <row r="49" customFormat="false" ht="15" hidden="false" customHeight="false" outlineLevel="0" collapsed="false">
      <c r="A49" s="10" t="str">
        <f aca="false">IF(C49="","",ROW()-3)</f>
        <v/>
      </c>
      <c r="B49" s="11"/>
      <c r="C49" s="11"/>
      <c r="D49" s="11"/>
      <c r="E49" s="11"/>
      <c r="F49" s="11"/>
      <c r="G49" s="11"/>
      <c r="H49" s="11"/>
      <c r="I49" s="11"/>
      <c r="J49" s="10" t="str">
        <f aca="false">IF(C49="","",N(H49)+N(I49))</f>
        <v/>
      </c>
      <c r="K49" s="10" t="str">
        <f aca="false">IF(C49="","",MIN(J49,پارامترها!$B$3))</f>
        <v/>
      </c>
      <c r="L49" s="10" t="str">
        <f aca="false">IF(C49="","",MAX(0,J49-پارامترها!$B$3))</f>
        <v/>
      </c>
      <c r="M49" s="11"/>
      <c r="N49" s="11"/>
      <c r="O49" s="11"/>
      <c r="P49" s="11"/>
      <c r="Q49" s="11"/>
      <c r="R49" s="12" t="str">
        <f aca="false">IF(OR(C49="",N(J49)=0),"",K49*2*(N(H49)*پارامترها!$B$4+N(I49)*پارامترها!$B$5)/J49)</f>
        <v/>
      </c>
      <c r="S49" s="12" t="str">
        <f aca="false">IF(C49="","",N(M49)*پارامترها!$B$6+N(N49)*پارامترها!$B$7+N(O49)*پارامترها!$B$8)</f>
        <v/>
      </c>
      <c r="T49" s="12" t="str">
        <f aca="false">IF(C49="","",N(R49)+N(S49))</f>
        <v/>
      </c>
      <c r="U49" s="10" t="str">
        <f aca="false">IF(C49="","",IF(P49&lt;&gt;"بله","ثبت نشده در HIS",IF(N(L49)&gt;0,"ثبت‌شده؛ مازاد بر سقف","ثبت‌شده")))</f>
        <v/>
      </c>
      <c r="V49" s="11"/>
    </row>
    <row r="50" customFormat="false" ht="15" hidden="false" customHeight="false" outlineLevel="0" collapsed="false">
      <c r="A50" s="10" t="str">
        <f aca="false">IF(C50="","",ROW()-3)</f>
        <v/>
      </c>
      <c r="B50" s="11"/>
      <c r="C50" s="11"/>
      <c r="D50" s="11"/>
      <c r="E50" s="11"/>
      <c r="F50" s="11"/>
      <c r="G50" s="11"/>
      <c r="H50" s="11"/>
      <c r="I50" s="11"/>
      <c r="J50" s="10" t="str">
        <f aca="false">IF(C50="","",N(H50)+N(I50))</f>
        <v/>
      </c>
      <c r="K50" s="10" t="str">
        <f aca="false">IF(C50="","",MIN(J50,پارامترها!$B$3))</f>
        <v/>
      </c>
      <c r="L50" s="10" t="str">
        <f aca="false">IF(C50="","",MAX(0,J50-پارامترها!$B$3))</f>
        <v/>
      </c>
      <c r="M50" s="11"/>
      <c r="N50" s="11"/>
      <c r="O50" s="11"/>
      <c r="P50" s="11"/>
      <c r="Q50" s="11"/>
      <c r="R50" s="12" t="str">
        <f aca="false">IF(OR(C50="",N(J50)=0),"",K50*2*(N(H50)*پارامترها!$B$4+N(I50)*پارامترها!$B$5)/J50)</f>
        <v/>
      </c>
      <c r="S50" s="12" t="str">
        <f aca="false">IF(C50="","",N(M50)*پارامترها!$B$6+N(N50)*پارامترها!$B$7+N(O50)*پارامترها!$B$8)</f>
        <v/>
      </c>
      <c r="T50" s="12" t="str">
        <f aca="false">IF(C50="","",N(R50)+N(S50))</f>
        <v/>
      </c>
      <c r="U50" s="10" t="str">
        <f aca="false">IF(C50="","",IF(P50&lt;&gt;"بله","ثبت نشده در HIS",IF(N(L50)&gt;0,"ثبت‌شده؛ مازاد بر سقف","ثبت‌شده")))</f>
        <v/>
      </c>
      <c r="V50" s="11"/>
    </row>
    <row r="51" customFormat="false" ht="15" hidden="false" customHeight="false" outlineLevel="0" collapsed="false">
      <c r="A51" s="10" t="str">
        <f aca="false">IF(C51="","",ROW()-3)</f>
        <v/>
      </c>
      <c r="B51" s="11"/>
      <c r="C51" s="11"/>
      <c r="D51" s="11"/>
      <c r="E51" s="11"/>
      <c r="F51" s="11"/>
      <c r="G51" s="11"/>
      <c r="H51" s="11"/>
      <c r="I51" s="11"/>
      <c r="J51" s="10" t="str">
        <f aca="false">IF(C51="","",N(H51)+N(I51))</f>
        <v/>
      </c>
      <c r="K51" s="10" t="str">
        <f aca="false">IF(C51="","",MIN(J51,پارامترها!$B$3))</f>
        <v/>
      </c>
      <c r="L51" s="10" t="str">
        <f aca="false">IF(C51="","",MAX(0,J51-پارامترها!$B$3))</f>
        <v/>
      </c>
      <c r="M51" s="11"/>
      <c r="N51" s="11"/>
      <c r="O51" s="11"/>
      <c r="P51" s="11"/>
      <c r="Q51" s="11"/>
      <c r="R51" s="12" t="str">
        <f aca="false">IF(OR(C51="",N(J51)=0),"",K51*2*(N(H51)*پارامترها!$B$4+N(I51)*پارامترها!$B$5)/J51)</f>
        <v/>
      </c>
      <c r="S51" s="12" t="str">
        <f aca="false">IF(C51="","",N(M51)*پارامترها!$B$6+N(N51)*پارامترها!$B$7+N(O51)*پارامترها!$B$8)</f>
        <v/>
      </c>
      <c r="T51" s="12" t="str">
        <f aca="false">IF(C51="","",N(R51)+N(S51))</f>
        <v/>
      </c>
      <c r="U51" s="10" t="str">
        <f aca="false">IF(C51="","",IF(P51&lt;&gt;"بله","ثبت نشده در HIS",IF(N(L51)&gt;0,"ثبت‌شده؛ مازاد بر سقف","ثبت‌شده")))</f>
        <v/>
      </c>
      <c r="V51" s="11"/>
    </row>
    <row r="52" customFormat="false" ht="15" hidden="false" customHeight="false" outlineLevel="0" collapsed="false">
      <c r="A52" s="10" t="str">
        <f aca="false">IF(C52="","",ROW()-3)</f>
        <v/>
      </c>
      <c r="B52" s="11"/>
      <c r="C52" s="11"/>
      <c r="D52" s="11"/>
      <c r="E52" s="11"/>
      <c r="F52" s="11"/>
      <c r="G52" s="11"/>
      <c r="H52" s="11"/>
      <c r="I52" s="11"/>
      <c r="J52" s="10" t="str">
        <f aca="false">IF(C52="","",N(H52)+N(I52))</f>
        <v/>
      </c>
      <c r="K52" s="10" t="str">
        <f aca="false">IF(C52="","",MIN(J52,پارامترها!$B$3))</f>
        <v/>
      </c>
      <c r="L52" s="10" t="str">
        <f aca="false">IF(C52="","",MAX(0,J52-پارامترها!$B$3))</f>
        <v/>
      </c>
      <c r="M52" s="11"/>
      <c r="N52" s="11"/>
      <c r="O52" s="11"/>
      <c r="P52" s="11"/>
      <c r="Q52" s="11"/>
      <c r="R52" s="12" t="str">
        <f aca="false">IF(OR(C52="",N(J52)=0),"",K52*2*(N(H52)*پارامترها!$B$4+N(I52)*پارامترها!$B$5)/J52)</f>
        <v/>
      </c>
      <c r="S52" s="12" t="str">
        <f aca="false">IF(C52="","",N(M52)*پارامترها!$B$6+N(N52)*پارامترها!$B$7+N(O52)*پارامترها!$B$8)</f>
        <v/>
      </c>
      <c r="T52" s="12" t="str">
        <f aca="false">IF(C52="","",N(R52)+N(S52))</f>
        <v/>
      </c>
      <c r="U52" s="10" t="str">
        <f aca="false">IF(C52="","",IF(P52&lt;&gt;"بله","ثبت نشده در HIS",IF(N(L52)&gt;0,"ثبت‌شده؛ مازاد بر سقف","ثبت‌شده")))</f>
        <v/>
      </c>
      <c r="V52" s="11"/>
    </row>
    <row r="53" customFormat="false" ht="15" hidden="false" customHeight="false" outlineLevel="0" collapsed="false">
      <c r="A53" s="10" t="str">
        <f aca="false">IF(C53="","",ROW()-3)</f>
        <v/>
      </c>
      <c r="B53" s="11"/>
      <c r="C53" s="11"/>
      <c r="D53" s="11"/>
      <c r="E53" s="11"/>
      <c r="F53" s="11"/>
      <c r="G53" s="11"/>
      <c r="H53" s="11"/>
      <c r="I53" s="11"/>
      <c r="J53" s="10" t="str">
        <f aca="false">IF(C53="","",N(H53)+N(I53))</f>
        <v/>
      </c>
      <c r="K53" s="10" t="str">
        <f aca="false">IF(C53="","",MIN(J53,پارامترها!$B$3))</f>
        <v/>
      </c>
      <c r="L53" s="10" t="str">
        <f aca="false">IF(C53="","",MAX(0,J53-پارامترها!$B$3))</f>
        <v/>
      </c>
      <c r="M53" s="11"/>
      <c r="N53" s="11"/>
      <c r="O53" s="11"/>
      <c r="P53" s="11"/>
      <c r="Q53" s="11"/>
      <c r="R53" s="12" t="str">
        <f aca="false">IF(OR(C53="",N(J53)=0),"",K53*2*(N(H53)*پارامترها!$B$4+N(I53)*پارامترها!$B$5)/J53)</f>
        <v/>
      </c>
      <c r="S53" s="12" t="str">
        <f aca="false">IF(C53="","",N(M53)*پارامترها!$B$6+N(N53)*پارامترها!$B$7+N(O53)*پارامترها!$B$8)</f>
        <v/>
      </c>
      <c r="T53" s="12" t="str">
        <f aca="false">IF(C53="","",N(R53)+N(S53))</f>
        <v/>
      </c>
      <c r="U53" s="10" t="str">
        <f aca="false">IF(C53="","",IF(P53&lt;&gt;"بله","ثبت نشده در HIS",IF(N(L53)&gt;0,"ثبت‌شده؛ مازاد بر سقف","ثبت‌شده")))</f>
        <v/>
      </c>
      <c r="V53" s="11"/>
    </row>
    <row r="54" customFormat="false" ht="15" hidden="false" customHeight="false" outlineLevel="0" collapsed="false">
      <c r="A54" s="10" t="str">
        <f aca="false">IF(C54="","",ROW()-3)</f>
        <v/>
      </c>
      <c r="B54" s="11"/>
      <c r="C54" s="11"/>
      <c r="D54" s="11"/>
      <c r="E54" s="11"/>
      <c r="F54" s="11"/>
      <c r="G54" s="11"/>
      <c r="H54" s="11"/>
      <c r="I54" s="11"/>
      <c r="J54" s="10" t="str">
        <f aca="false">IF(C54="","",N(H54)+N(I54))</f>
        <v/>
      </c>
      <c r="K54" s="10" t="str">
        <f aca="false">IF(C54="","",MIN(J54,پارامترها!$B$3))</f>
        <v/>
      </c>
      <c r="L54" s="10" t="str">
        <f aca="false">IF(C54="","",MAX(0,J54-پارامترها!$B$3))</f>
        <v/>
      </c>
      <c r="M54" s="11"/>
      <c r="N54" s="11"/>
      <c r="O54" s="11"/>
      <c r="P54" s="11"/>
      <c r="Q54" s="11"/>
      <c r="R54" s="12" t="str">
        <f aca="false">IF(OR(C54="",N(J54)=0),"",K54*2*(N(H54)*پارامترها!$B$4+N(I54)*پارامترها!$B$5)/J54)</f>
        <v/>
      </c>
      <c r="S54" s="12" t="str">
        <f aca="false">IF(C54="","",N(M54)*پارامترها!$B$6+N(N54)*پارامترها!$B$7+N(O54)*پارامترها!$B$8)</f>
        <v/>
      </c>
      <c r="T54" s="12" t="str">
        <f aca="false">IF(C54="","",N(R54)+N(S54))</f>
        <v/>
      </c>
      <c r="U54" s="10" t="str">
        <f aca="false">IF(C54="","",IF(P54&lt;&gt;"بله","ثبت نشده در HIS",IF(N(L54)&gt;0,"ثبت‌شده؛ مازاد بر سقف","ثبت‌شده")))</f>
        <v/>
      </c>
      <c r="V54" s="11"/>
    </row>
    <row r="55" customFormat="false" ht="15" hidden="false" customHeight="false" outlineLevel="0" collapsed="false">
      <c r="A55" s="10" t="str">
        <f aca="false">IF(C55="","",ROW()-3)</f>
        <v/>
      </c>
      <c r="B55" s="11"/>
      <c r="C55" s="11"/>
      <c r="D55" s="11"/>
      <c r="E55" s="11"/>
      <c r="F55" s="11"/>
      <c r="G55" s="11"/>
      <c r="H55" s="11"/>
      <c r="I55" s="11"/>
      <c r="J55" s="10" t="str">
        <f aca="false">IF(C55="","",N(H55)+N(I55))</f>
        <v/>
      </c>
      <c r="K55" s="10" t="str">
        <f aca="false">IF(C55="","",MIN(J55,پارامترها!$B$3))</f>
        <v/>
      </c>
      <c r="L55" s="10" t="str">
        <f aca="false">IF(C55="","",MAX(0,J55-پارامترها!$B$3))</f>
        <v/>
      </c>
      <c r="M55" s="11"/>
      <c r="N55" s="11"/>
      <c r="O55" s="11"/>
      <c r="P55" s="11"/>
      <c r="Q55" s="11"/>
      <c r="R55" s="12" t="str">
        <f aca="false">IF(OR(C55="",N(J55)=0),"",K55*2*(N(H55)*پارامترها!$B$4+N(I55)*پارامترها!$B$5)/J55)</f>
        <v/>
      </c>
      <c r="S55" s="12" t="str">
        <f aca="false">IF(C55="","",N(M55)*پارامترها!$B$6+N(N55)*پارامترها!$B$7+N(O55)*پارامترها!$B$8)</f>
        <v/>
      </c>
      <c r="T55" s="12" t="str">
        <f aca="false">IF(C55="","",N(R55)+N(S55))</f>
        <v/>
      </c>
      <c r="U55" s="10" t="str">
        <f aca="false">IF(C55="","",IF(P55&lt;&gt;"بله","ثبت نشده در HIS",IF(N(L55)&gt;0,"ثبت‌شده؛ مازاد بر سقف","ثبت‌شده")))</f>
        <v/>
      </c>
      <c r="V55" s="11"/>
    </row>
    <row r="56" customFormat="false" ht="15" hidden="false" customHeight="false" outlineLevel="0" collapsed="false">
      <c r="A56" s="10" t="str">
        <f aca="false">IF(C56="","",ROW()-3)</f>
        <v/>
      </c>
      <c r="B56" s="11"/>
      <c r="C56" s="11"/>
      <c r="D56" s="11"/>
      <c r="E56" s="11"/>
      <c r="F56" s="11"/>
      <c r="G56" s="11"/>
      <c r="H56" s="11"/>
      <c r="I56" s="11"/>
      <c r="J56" s="10" t="str">
        <f aca="false">IF(C56="","",N(H56)+N(I56))</f>
        <v/>
      </c>
      <c r="K56" s="10" t="str">
        <f aca="false">IF(C56="","",MIN(J56,پارامترها!$B$3))</f>
        <v/>
      </c>
      <c r="L56" s="10" t="str">
        <f aca="false">IF(C56="","",MAX(0,J56-پارامترها!$B$3))</f>
        <v/>
      </c>
      <c r="M56" s="11"/>
      <c r="N56" s="11"/>
      <c r="O56" s="11"/>
      <c r="P56" s="11"/>
      <c r="Q56" s="11"/>
      <c r="R56" s="12" t="str">
        <f aca="false">IF(OR(C56="",N(J56)=0),"",K56*2*(N(H56)*پارامترها!$B$4+N(I56)*پارامترها!$B$5)/J56)</f>
        <v/>
      </c>
      <c r="S56" s="12" t="str">
        <f aca="false">IF(C56="","",N(M56)*پارامترها!$B$6+N(N56)*پارامترها!$B$7+N(O56)*پارامترها!$B$8)</f>
        <v/>
      </c>
      <c r="T56" s="12" t="str">
        <f aca="false">IF(C56="","",N(R56)+N(S56))</f>
        <v/>
      </c>
      <c r="U56" s="10" t="str">
        <f aca="false">IF(C56="","",IF(P56&lt;&gt;"بله","ثبت نشده در HIS",IF(N(L56)&gt;0,"ثبت‌شده؛ مازاد بر سقف","ثبت‌شده")))</f>
        <v/>
      </c>
      <c r="V56" s="11"/>
    </row>
    <row r="57" customFormat="false" ht="15" hidden="false" customHeight="false" outlineLevel="0" collapsed="false">
      <c r="A57" s="10" t="str">
        <f aca="false">IF(C57="","",ROW()-3)</f>
        <v/>
      </c>
      <c r="B57" s="11"/>
      <c r="C57" s="11"/>
      <c r="D57" s="11"/>
      <c r="E57" s="11"/>
      <c r="F57" s="11"/>
      <c r="G57" s="11"/>
      <c r="H57" s="11"/>
      <c r="I57" s="11"/>
      <c r="J57" s="10" t="str">
        <f aca="false">IF(C57="","",N(H57)+N(I57))</f>
        <v/>
      </c>
      <c r="K57" s="10" t="str">
        <f aca="false">IF(C57="","",MIN(J57,پارامترها!$B$3))</f>
        <v/>
      </c>
      <c r="L57" s="10" t="str">
        <f aca="false">IF(C57="","",MAX(0,J57-پارامترها!$B$3))</f>
        <v/>
      </c>
      <c r="M57" s="11"/>
      <c r="N57" s="11"/>
      <c r="O57" s="11"/>
      <c r="P57" s="11"/>
      <c r="Q57" s="11"/>
      <c r="R57" s="12" t="str">
        <f aca="false">IF(OR(C57="",N(J57)=0),"",K57*2*(N(H57)*پارامترها!$B$4+N(I57)*پارامترها!$B$5)/J57)</f>
        <v/>
      </c>
      <c r="S57" s="12" t="str">
        <f aca="false">IF(C57="","",N(M57)*پارامترها!$B$6+N(N57)*پارامترها!$B$7+N(O57)*پارامترها!$B$8)</f>
        <v/>
      </c>
      <c r="T57" s="12" t="str">
        <f aca="false">IF(C57="","",N(R57)+N(S57))</f>
        <v/>
      </c>
      <c r="U57" s="10" t="str">
        <f aca="false">IF(C57="","",IF(P57&lt;&gt;"بله","ثبت نشده در HIS",IF(N(L57)&gt;0,"ثبت‌شده؛ مازاد بر سقف","ثبت‌شده")))</f>
        <v/>
      </c>
      <c r="V57" s="11"/>
    </row>
    <row r="58" customFormat="false" ht="15" hidden="false" customHeight="false" outlineLevel="0" collapsed="false">
      <c r="A58" s="10" t="str">
        <f aca="false">IF(C58="","",ROW()-3)</f>
        <v/>
      </c>
      <c r="B58" s="11"/>
      <c r="C58" s="11"/>
      <c r="D58" s="11"/>
      <c r="E58" s="11"/>
      <c r="F58" s="11"/>
      <c r="G58" s="11"/>
      <c r="H58" s="11"/>
      <c r="I58" s="11"/>
      <c r="J58" s="10" t="str">
        <f aca="false">IF(C58="","",N(H58)+N(I58))</f>
        <v/>
      </c>
      <c r="K58" s="10" t="str">
        <f aca="false">IF(C58="","",MIN(J58,پارامترها!$B$3))</f>
        <v/>
      </c>
      <c r="L58" s="10" t="str">
        <f aca="false">IF(C58="","",MAX(0,J58-پارامترها!$B$3))</f>
        <v/>
      </c>
      <c r="M58" s="11"/>
      <c r="N58" s="11"/>
      <c r="O58" s="11"/>
      <c r="P58" s="11"/>
      <c r="Q58" s="11"/>
      <c r="R58" s="12" t="str">
        <f aca="false">IF(OR(C58="",N(J58)=0),"",K58*2*(N(H58)*پارامترها!$B$4+N(I58)*پارامترها!$B$5)/J58)</f>
        <v/>
      </c>
      <c r="S58" s="12" t="str">
        <f aca="false">IF(C58="","",N(M58)*پارامترها!$B$6+N(N58)*پارامترها!$B$7+N(O58)*پارامترها!$B$8)</f>
        <v/>
      </c>
      <c r="T58" s="12" t="str">
        <f aca="false">IF(C58="","",N(R58)+N(S58))</f>
        <v/>
      </c>
      <c r="U58" s="10" t="str">
        <f aca="false">IF(C58="","",IF(P58&lt;&gt;"بله","ثبت نشده در HIS",IF(N(L58)&gt;0,"ثبت‌شده؛ مازاد بر سقف","ثبت‌شده")))</f>
        <v/>
      </c>
      <c r="V58" s="11"/>
    </row>
    <row r="59" customFormat="false" ht="15" hidden="false" customHeight="false" outlineLevel="0" collapsed="false">
      <c r="A59" s="10" t="str">
        <f aca="false">IF(C59="","",ROW()-3)</f>
        <v/>
      </c>
      <c r="B59" s="11"/>
      <c r="C59" s="11"/>
      <c r="D59" s="11"/>
      <c r="E59" s="11"/>
      <c r="F59" s="11"/>
      <c r="G59" s="11"/>
      <c r="H59" s="11"/>
      <c r="I59" s="11"/>
      <c r="J59" s="10" t="str">
        <f aca="false">IF(C59="","",N(H59)+N(I59))</f>
        <v/>
      </c>
      <c r="K59" s="10" t="str">
        <f aca="false">IF(C59="","",MIN(J59,پارامترها!$B$3))</f>
        <v/>
      </c>
      <c r="L59" s="10" t="str">
        <f aca="false">IF(C59="","",MAX(0,J59-پارامترها!$B$3))</f>
        <v/>
      </c>
      <c r="M59" s="11"/>
      <c r="N59" s="11"/>
      <c r="O59" s="11"/>
      <c r="P59" s="11"/>
      <c r="Q59" s="11"/>
      <c r="R59" s="12" t="str">
        <f aca="false">IF(OR(C59="",N(J59)=0),"",K59*2*(N(H59)*پارامترها!$B$4+N(I59)*پارامترها!$B$5)/J59)</f>
        <v/>
      </c>
      <c r="S59" s="12" t="str">
        <f aca="false">IF(C59="","",N(M59)*پارامترها!$B$6+N(N59)*پارامترها!$B$7+N(O59)*پارامترها!$B$8)</f>
        <v/>
      </c>
      <c r="T59" s="12" t="str">
        <f aca="false">IF(C59="","",N(R59)+N(S59))</f>
        <v/>
      </c>
      <c r="U59" s="10" t="str">
        <f aca="false">IF(C59="","",IF(P59&lt;&gt;"بله","ثبت نشده در HIS",IF(N(L59)&gt;0,"ثبت‌شده؛ مازاد بر سقف","ثبت‌شده")))</f>
        <v/>
      </c>
      <c r="V59" s="11"/>
    </row>
    <row r="60" customFormat="false" ht="15" hidden="false" customHeight="false" outlineLevel="0" collapsed="false">
      <c r="A60" s="10" t="str">
        <f aca="false">IF(C60="","",ROW()-3)</f>
        <v/>
      </c>
      <c r="B60" s="11"/>
      <c r="C60" s="11"/>
      <c r="D60" s="11"/>
      <c r="E60" s="11"/>
      <c r="F60" s="11"/>
      <c r="G60" s="11"/>
      <c r="H60" s="11"/>
      <c r="I60" s="11"/>
      <c r="J60" s="10" t="str">
        <f aca="false">IF(C60="","",N(H60)+N(I60))</f>
        <v/>
      </c>
      <c r="K60" s="10" t="str">
        <f aca="false">IF(C60="","",MIN(J60,پارامترها!$B$3))</f>
        <v/>
      </c>
      <c r="L60" s="10" t="str">
        <f aca="false">IF(C60="","",MAX(0,J60-پارامترها!$B$3))</f>
        <v/>
      </c>
      <c r="M60" s="11"/>
      <c r="N60" s="11"/>
      <c r="O60" s="11"/>
      <c r="P60" s="11"/>
      <c r="Q60" s="11"/>
      <c r="R60" s="12" t="str">
        <f aca="false">IF(OR(C60="",N(J60)=0),"",K60*2*(N(H60)*پارامترها!$B$4+N(I60)*پارامترها!$B$5)/J60)</f>
        <v/>
      </c>
      <c r="S60" s="12" t="str">
        <f aca="false">IF(C60="","",N(M60)*پارامترها!$B$6+N(N60)*پارامترها!$B$7+N(O60)*پارامترها!$B$8)</f>
        <v/>
      </c>
      <c r="T60" s="12" t="str">
        <f aca="false">IF(C60="","",N(R60)+N(S60))</f>
        <v/>
      </c>
      <c r="U60" s="10" t="str">
        <f aca="false">IF(C60="","",IF(P60&lt;&gt;"بله","ثبت نشده در HIS",IF(N(L60)&gt;0,"ثبت‌شده؛ مازاد بر سقف","ثبت‌شده")))</f>
        <v/>
      </c>
      <c r="V60" s="11"/>
    </row>
    <row r="61" customFormat="false" ht="15" hidden="false" customHeight="false" outlineLevel="0" collapsed="false">
      <c r="A61" s="10" t="str">
        <f aca="false">IF(C61="","",ROW()-3)</f>
        <v/>
      </c>
      <c r="B61" s="11"/>
      <c r="C61" s="11"/>
      <c r="D61" s="11"/>
      <c r="E61" s="11"/>
      <c r="F61" s="11"/>
      <c r="G61" s="11"/>
      <c r="H61" s="11"/>
      <c r="I61" s="11"/>
      <c r="J61" s="10" t="str">
        <f aca="false">IF(C61="","",N(H61)+N(I61))</f>
        <v/>
      </c>
      <c r="K61" s="10" t="str">
        <f aca="false">IF(C61="","",MIN(J61,پارامترها!$B$3))</f>
        <v/>
      </c>
      <c r="L61" s="10" t="str">
        <f aca="false">IF(C61="","",MAX(0,J61-پارامترها!$B$3))</f>
        <v/>
      </c>
      <c r="M61" s="11"/>
      <c r="N61" s="11"/>
      <c r="O61" s="11"/>
      <c r="P61" s="11"/>
      <c r="Q61" s="11"/>
      <c r="R61" s="12" t="str">
        <f aca="false">IF(OR(C61="",N(J61)=0),"",K61*2*(N(H61)*پارامترها!$B$4+N(I61)*پارامترها!$B$5)/J61)</f>
        <v/>
      </c>
      <c r="S61" s="12" t="str">
        <f aca="false">IF(C61="","",N(M61)*پارامترها!$B$6+N(N61)*پارامترها!$B$7+N(O61)*پارامترها!$B$8)</f>
        <v/>
      </c>
      <c r="T61" s="12" t="str">
        <f aca="false">IF(C61="","",N(R61)+N(S61))</f>
        <v/>
      </c>
      <c r="U61" s="10" t="str">
        <f aca="false">IF(C61="","",IF(P61&lt;&gt;"بله","ثبت نشده در HIS",IF(N(L61)&gt;0,"ثبت‌شده؛ مازاد بر سقف","ثبت‌شده")))</f>
        <v/>
      </c>
      <c r="V61" s="11"/>
    </row>
    <row r="62" customFormat="false" ht="15" hidden="false" customHeight="false" outlineLevel="0" collapsed="false">
      <c r="A62" s="10" t="str">
        <f aca="false">IF(C62="","",ROW()-3)</f>
        <v/>
      </c>
      <c r="B62" s="11"/>
      <c r="C62" s="11"/>
      <c r="D62" s="11"/>
      <c r="E62" s="11"/>
      <c r="F62" s="11"/>
      <c r="G62" s="11"/>
      <c r="H62" s="11"/>
      <c r="I62" s="11"/>
      <c r="J62" s="10" t="str">
        <f aca="false">IF(C62="","",N(H62)+N(I62))</f>
        <v/>
      </c>
      <c r="K62" s="10" t="str">
        <f aca="false">IF(C62="","",MIN(J62,پارامترها!$B$3))</f>
        <v/>
      </c>
      <c r="L62" s="10" t="str">
        <f aca="false">IF(C62="","",MAX(0,J62-پارامترها!$B$3))</f>
        <v/>
      </c>
      <c r="M62" s="11"/>
      <c r="N62" s="11"/>
      <c r="O62" s="11"/>
      <c r="P62" s="11"/>
      <c r="Q62" s="11"/>
      <c r="R62" s="12" t="str">
        <f aca="false">IF(OR(C62="",N(J62)=0),"",K62*2*(N(H62)*پارامترها!$B$4+N(I62)*پارامترها!$B$5)/J62)</f>
        <v/>
      </c>
      <c r="S62" s="12" t="str">
        <f aca="false">IF(C62="","",N(M62)*پارامترها!$B$6+N(N62)*پارامترها!$B$7+N(O62)*پارامترها!$B$8)</f>
        <v/>
      </c>
      <c r="T62" s="12" t="str">
        <f aca="false">IF(C62="","",N(R62)+N(S62))</f>
        <v/>
      </c>
      <c r="U62" s="10" t="str">
        <f aca="false">IF(C62="","",IF(P62&lt;&gt;"بله","ثبت نشده در HIS",IF(N(L62)&gt;0,"ثبت‌شده؛ مازاد بر سقف","ثبت‌شده")))</f>
        <v/>
      </c>
      <c r="V62" s="11"/>
    </row>
    <row r="63" customFormat="false" ht="15" hidden="false" customHeight="false" outlineLevel="0" collapsed="false">
      <c r="A63" s="10" t="str">
        <f aca="false">IF(C63="","",ROW()-3)</f>
        <v/>
      </c>
      <c r="B63" s="11"/>
      <c r="C63" s="11"/>
      <c r="D63" s="11"/>
      <c r="E63" s="11"/>
      <c r="F63" s="11"/>
      <c r="G63" s="11"/>
      <c r="H63" s="11"/>
      <c r="I63" s="11"/>
      <c r="J63" s="10" t="str">
        <f aca="false">IF(C63="","",N(H63)+N(I63))</f>
        <v/>
      </c>
      <c r="K63" s="10" t="str">
        <f aca="false">IF(C63="","",MIN(J63,پارامترها!$B$3))</f>
        <v/>
      </c>
      <c r="L63" s="10" t="str">
        <f aca="false">IF(C63="","",MAX(0,J63-پارامترها!$B$3))</f>
        <v/>
      </c>
      <c r="M63" s="11"/>
      <c r="N63" s="11"/>
      <c r="O63" s="11"/>
      <c r="P63" s="11"/>
      <c r="Q63" s="11"/>
      <c r="R63" s="12" t="str">
        <f aca="false">IF(OR(C63="",N(J63)=0),"",K63*2*(N(H63)*پارامترها!$B$4+N(I63)*پارامترها!$B$5)/J63)</f>
        <v/>
      </c>
      <c r="S63" s="12" t="str">
        <f aca="false">IF(C63="","",N(M63)*پارامترها!$B$6+N(N63)*پارامترها!$B$7+N(O63)*پارامترها!$B$8)</f>
        <v/>
      </c>
      <c r="T63" s="12" t="str">
        <f aca="false">IF(C63="","",N(R63)+N(S63))</f>
        <v/>
      </c>
      <c r="U63" s="10" t="str">
        <f aca="false">IF(C63="","",IF(P63&lt;&gt;"بله","ثبت نشده در HIS",IF(N(L63)&gt;0,"ثبت‌شده؛ مازاد بر سقف","ثبت‌شده")))</f>
        <v/>
      </c>
      <c r="V63" s="11"/>
    </row>
    <row r="64" customFormat="false" ht="15" hidden="false" customHeight="false" outlineLevel="0" collapsed="false">
      <c r="A64" s="10" t="str">
        <f aca="false">IF(C64="","",ROW()-3)</f>
        <v/>
      </c>
      <c r="B64" s="11"/>
      <c r="C64" s="11"/>
      <c r="D64" s="11"/>
      <c r="E64" s="11"/>
      <c r="F64" s="11"/>
      <c r="G64" s="11"/>
      <c r="H64" s="11"/>
      <c r="I64" s="11"/>
      <c r="J64" s="10" t="str">
        <f aca="false">IF(C64="","",N(H64)+N(I64))</f>
        <v/>
      </c>
      <c r="K64" s="10" t="str">
        <f aca="false">IF(C64="","",MIN(J64,پارامترها!$B$3))</f>
        <v/>
      </c>
      <c r="L64" s="10" t="str">
        <f aca="false">IF(C64="","",MAX(0,J64-پارامترها!$B$3))</f>
        <v/>
      </c>
      <c r="M64" s="11"/>
      <c r="N64" s="11"/>
      <c r="O64" s="11"/>
      <c r="P64" s="11"/>
      <c r="Q64" s="11"/>
      <c r="R64" s="12" t="str">
        <f aca="false">IF(OR(C64="",N(J64)=0),"",K64*2*(N(H64)*پارامترها!$B$4+N(I64)*پارامترها!$B$5)/J64)</f>
        <v/>
      </c>
      <c r="S64" s="12" t="str">
        <f aca="false">IF(C64="","",N(M64)*پارامترها!$B$6+N(N64)*پارامترها!$B$7+N(O64)*پارامترها!$B$8)</f>
        <v/>
      </c>
      <c r="T64" s="12" t="str">
        <f aca="false">IF(C64="","",N(R64)+N(S64))</f>
        <v/>
      </c>
      <c r="U64" s="10" t="str">
        <f aca="false">IF(C64="","",IF(P64&lt;&gt;"بله","ثبت نشده در HIS",IF(N(L64)&gt;0,"ثبت‌شده؛ مازاد بر سقف","ثبت‌شده")))</f>
        <v/>
      </c>
      <c r="V64" s="11"/>
    </row>
    <row r="65" customFormat="false" ht="15" hidden="false" customHeight="false" outlineLevel="0" collapsed="false">
      <c r="A65" s="10" t="str">
        <f aca="false">IF(C65="","",ROW()-3)</f>
        <v/>
      </c>
      <c r="B65" s="11"/>
      <c r="C65" s="11"/>
      <c r="D65" s="11"/>
      <c r="E65" s="11"/>
      <c r="F65" s="11"/>
      <c r="G65" s="11"/>
      <c r="H65" s="11"/>
      <c r="I65" s="11"/>
      <c r="J65" s="10" t="str">
        <f aca="false">IF(C65="","",N(H65)+N(I65))</f>
        <v/>
      </c>
      <c r="K65" s="10" t="str">
        <f aca="false">IF(C65="","",MIN(J65,پارامترها!$B$3))</f>
        <v/>
      </c>
      <c r="L65" s="10" t="str">
        <f aca="false">IF(C65="","",MAX(0,J65-پارامترها!$B$3))</f>
        <v/>
      </c>
      <c r="M65" s="11"/>
      <c r="N65" s="11"/>
      <c r="O65" s="11"/>
      <c r="P65" s="11"/>
      <c r="Q65" s="11"/>
      <c r="R65" s="12" t="str">
        <f aca="false">IF(OR(C65="",N(J65)=0),"",K65*2*(N(H65)*پارامترها!$B$4+N(I65)*پارامترها!$B$5)/J65)</f>
        <v/>
      </c>
      <c r="S65" s="12" t="str">
        <f aca="false">IF(C65="","",N(M65)*پارامترها!$B$6+N(N65)*پارامترها!$B$7+N(O65)*پارامترها!$B$8)</f>
        <v/>
      </c>
      <c r="T65" s="12" t="str">
        <f aca="false">IF(C65="","",N(R65)+N(S65))</f>
        <v/>
      </c>
      <c r="U65" s="10" t="str">
        <f aca="false">IF(C65="","",IF(P65&lt;&gt;"بله","ثبت نشده در HIS",IF(N(L65)&gt;0,"ثبت‌شده؛ مازاد بر سقف","ثبت‌شده")))</f>
        <v/>
      </c>
      <c r="V65" s="11"/>
    </row>
    <row r="66" customFormat="false" ht="15" hidden="false" customHeight="false" outlineLevel="0" collapsed="false">
      <c r="A66" s="10" t="str">
        <f aca="false">IF(C66="","",ROW()-3)</f>
        <v/>
      </c>
      <c r="B66" s="11"/>
      <c r="C66" s="11"/>
      <c r="D66" s="11"/>
      <c r="E66" s="11"/>
      <c r="F66" s="11"/>
      <c r="G66" s="11"/>
      <c r="H66" s="11"/>
      <c r="I66" s="11"/>
      <c r="J66" s="10" t="str">
        <f aca="false">IF(C66="","",N(H66)+N(I66))</f>
        <v/>
      </c>
      <c r="K66" s="10" t="str">
        <f aca="false">IF(C66="","",MIN(J66,پارامترها!$B$3))</f>
        <v/>
      </c>
      <c r="L66" s="10" t="str">
        <f aca="false">IF(C66="","",MAX(0,J66-پارامترها!$B$3))</f>
        <v/>
      </c>
      <c r="M66" s="11"/>
      <c r="N66" s="11"/>
      <c r="O66" s="11"/>
      <c r="P66" s="11"/>
      <c r="Q66" s="11"/>
      <c r="R66" s="12" t="str">
        <f aca="false">IF(OR(C66="",N(J66)=0),"",K66*2*(N(H66)*پارامترها!$B$4+N(I66)*پارامترها!$B$5)/J66)</f>
        <v/>
      </c>
      <c r="S66" s="12" t="str">
        <f aca="false">IF(C66="","",N(M66)*پارامترها!$B$6+N(N66)*پارامترها!$B$7+N(O66)*پارامترها!$B$8)</f>
        <v/>
      </c>
      <c r="T66" s="12" t="str">
        <f aca="false">IF(C66="","",N(R66)+N(S66))</f>
        <v/>
      </c>
      <c r="U66" s="10" t="str">
        <f aca="false">IF(C66="","",IF(P66&lt;&gt;"بله","ثبت نشده در HIS",IF(N(L66)&gt;0,"ثبت‌شده؛ مازاد بر سقف","ثبت‌شده")))</f>
        <v/>
      </c>
      <c r="V66" s="11"/>
    </row>
    <row r="67" customFormat="false" ht="15" hidden="false" customHeight="false" outlineLevel="0" collapsed="false">
      <c r="A67" s="10" t="str">
        <f aca="false">IF(C67="","",ROW()-3)</f>
        <v/>
      </c>
      <c r="B67" s="11"/>
      <c r="C67" s="11"/>
      <c r="D67" s="11"/>
      <c r="E67" s="11"/>
      <c r="F67" s="11"/>
      <c r="G67" s="11"/>
      <c r="H67" s="11"/>
      <c r="I67" s="11"/>
      <c r="J67" s="10" t="str">
        <f aca="false">IF(C67="","",N(H67)+N(I67))</f>
        <v/>
      </c>
      <c r="K67" s="10" t="str">
        <f aca="false">IF(C67="","",MIN(J67,پارامترها!$B$3))</f>
        <v/>
      </c>
      <c r="L67" s="10" t="str">
        <f aca="false">IF(C67="","",MAX(0,J67-پارامترها!$B$3))</f>
        <v/>
      </c>
      <c r="M67" s="11"/>
      <c r="N67" s="11"/>
      <c r="O67" s="11"/>
      <c r="P67" s="11"/>
      <c r="Q67" s="11"/>
      <c r="R67" s="12" t="str">
        <f aca="false">IF(OR(C67="",N(J67)=0),"",K67*2*(N(H67)*پارامترها!$B$4+N(I67)*پارامترها!$B$5)/J67)</f>
        <v/>
      </c>
      <c r="S67" s="12" t="str">
        <f aca="false">IF(C67="","",N(M67)*پارامترها!$B$6+N(N67)*پارامترها!$B$7+N(O67)*پارامترها!$B$8)</f>
        <v/>
      </c>
      <c r="T67" s="12" t="str">
        <f aca="false">IF(C67="","",N(R67)+N(S67))</f>
        <v/>
      </c>
      <c r="U67" s="10" t="str">
        <f aca="false">IF(C67="","",IF(P67&lt;&gt;"بله","ثبت نشده در HIS",IF(N(L67)&gt;0,"ثبت‌شده؛ مازاد بر سقف","ثبت‌شده")))</f>
        <v/>
      </c>
      <c r="V67" s="11"/>
    </row>
    <row r="68" customFormat="false" ht="15" hidden="false" customHeight="false" outlineLevel="0" collapsed="false">
      <c r="A68" s="10" t="str">
        <f aca="false">IF(C68="","",ROW()-3)</f>
        <v/>
      </c>
      <c r="B68" s="11"/>
      <c r="C68" s="11"/>
      <c r="D68" s="11"/>
      <c r="E68" s="11"/>
      <c r="F68" s="11"/>
      <c r="G68" s="11"/>
      <c r="H68" s="11"/>
      <c r="I68" s="11"/>
      <c r="J68" s="10" t="str">
        <f aca="false">IF(C68="","",N(H68)+N(I68))</f>
        <v/>
      </c>
      <c r="K68" s="10" t="str">
        <f aca="false">IF(C68="","",MIN(J68,پارامترها!$B$3))</f>
        <v/>
      </c>
      <c r="L68" s="10" t="str">
        <f aca="false">IF(C68="","",MAX(0,J68-پارامترها!$B$3))</f>
        <v/>
      </c>
      <c r="M68" s="11"/>
      <c r="N68" s="11"/>
      <c r="O68" s="11"/>
      <c r="P68" s="11"/>
      <c r="Q68" s="11"/>
      <c r="R68" s="12" t="str">
        <f aca="false">IF(OR(C68="",N(J68)=0),"",K68*2*(N(H68)*پارامترها!$B$4+N(I68)*پارامترها!$B$5)/J68)</f>
        <v/>
      </c>
      <c r="S68" s="12" t="str">
        <f aca="false">IF(C68="","",N(M68)*پارامترها!$B$6+N(N68)*پارامترها!$B$7+N(O68)*پارامترها!$B$8)</f>
        <v/>
      </c>
      <c r="T68" s="12" t="str">
        <f aca="false">IF(C68="","",N(R68)+N(S68))</f>
        <v/>
      </c>
      <c r="U68" s="10" t="str">
        <f aca="false">IF(C68="","",IF(P68&lt;&gt;"بله","ثبت نشده در HIS",IF(N(L68)&gt;0,"ثبت‌شده؛ مازاد بر سقف","ثبت‌شده")))</f>
        <v/>
      </c>
      <c r="V68" s="11"/>
    </row>
    <row r="69" customFormat="false" ht="15" hidden="false" customHeight="false" outlineLevel="0" collapsed="false">
      <c r="A69" s="10" t="str">
        <f aca="false">IF(C69="","",ROW()-3)</f>
        <v/>
      </c>
      <c r="B69" s="11"/>
      <c r="C69" s="11"/>
      <c r="D69" s="11"/>
      <c r="E69" s="11"/>
      <c r="F69" s="11"/>
      <c r="G69" s="11"/>
      <c r="H69" s="11"/>
      <c r="I69" s="11"/>
      <c r="J69" s="10" t="str">
        <f aca="false">IF(C69="","",N(H69)+N(I69))</f>
        <v/>
      </c>
      <c r="K69" s="10" t="str">
        <f aca="false">IF(C69="","",MIN(J69,پارامترها!$B$3))</f>
        <v/>
      </c>
      <c r="L69" s="10" t="str">
        <f aca="false">IF(C69="","",MAX(0,J69-پارامترها!$B$3))</f>
        <v/>
      </c>
      <c r="M69" s="11"/>
      <c r="N69" s="11"/>
      <c r="O69" s="11"/>
      <c r="P69" s="11"/>
      <c r="Q69" s="11"/>
      <c r="R69" s="12" t="str">
        <f aca="false">IF(OR(C69="",N(J69)=0),"",K69*2*(N(H69)*پارامترها!$B$4+N(I69)*پارامترها!$B$5)/J69)</f>
        <v/>
      </c>
      <c r="S69" s="12" t="str">
        <f aca="false">IF(C69="","",N(M69)*پارامترها!$B$6+N(N69)*پارامترها!$B$7+N(O69)*پارامترها!$B$8)</f>
        <v/>
      </c>
      <c r="T69" s="12" t="str">
        <f aca="false">IF(C69="","",N(R69)+N(S69))</f>
        <v/>
      </c>
      <c r="U69" s="10" t="str">
        <f aca="false">IF(C69="","",IF(P69&lt;&gt;"بله","ثبت نشده در HIS",IF(N(L69)&gt;0,"ثبت‌شده؛ مازاد بر سقف","ثبت‌شده")))</f>
        <v/>
      </c>
      <c r="V69" s="11"/>
    </row>
    <row r="70" customFormat="false" ht="15" hidden="false" customHeight="false" outlineLevel="0" collapsed="false">
      <c r="A70" s="10" t="str">
        <f aca="false">IF(C70="","",ROW()-3)</f>
        <v/>
      </c>
      <c r="B70" s="11"/>
      <c r="C70" s="11"/>
      <c r="D70" s="11"/>
      <c r="E70" s="11"/>
      <c r="F70" s="11"/>
      <c r="G70" s="11"/>
      <c r="H70" s="11"/>
      <c r="I70" s="11"/>
      <c r="J70" s="10" t="str">
        <f aca="false">IF(C70="","",N(H70)+N(I70))</f>
        <v/>
      </c>
      <c r="K70" s="10" t="str">
        <f aca="false">IF(C70="","",MIN(J70,پارامترها!$B$3))</f>
        <v/>
      </c>
      <c r="L70" s="10" t="str">
        <f aca="false">IF(C70="","",MAX(0,J70-پارامترها!$B$3))</f>
        <v/>
      </c>
      <c r="M70" s="11"/>
      <c r="N70" s="11"/>
      <c r="O70" s="11"/>
      <c r="P70" s="11"/>
      <c r="Q70" s="11"/>
      <c r="R70" s="12" t="str">
        <f aca="false">IF(OR(C70="",N(J70)=0),"",K70*2*(N(H70)*پارامترها!$B$4+N(I70)*پارامترها!$B$5)/J70)</f>
        <v/>
      </c>
      <c r="S70" s="12" t="str">
        <f aca="false">IF(C70="","",N(M70)*پارامترها!$B$6+N(N70)*پارامترها!$B$7+N(O70)*پارامترها!$B$8)</f>
        <v/>
      </c>
      <c r="T70" s="12" t="str">
        <f aca="false">IF(C70="","",N(R70)+N(S70))</f>
        <v/>
      </c>
      <c r="U70" s="10" t="str">
        <f aca="false">IF(C70="","",IF(P70&lt;&gt;"بله","ثبت نشده در HIS",IF(N(L70)&gt;0,"ثبت‌شده؛ مازاد بر سقف","ثبت‌شده")))</f>
        <v/>
      </c>
      <c r="V70" s="11"/>
    </row>
    <row r="71" customFormat="false" ht="15" hidden="false" customHeight="false" outlineLevel="0" collapsed="false">
      <c r="A71" s="10" t="str">
        <f aca="false">IF(C71="","",ROW()-3)</f>
        <v/>
      </c>
      <c r="B71" s="11"/>
      <c r="C71" s="11"/>
      <c r="D71" s="11"/>
      <c r="E71" s="11"/>
      <c r="F71" s="11"/>
      <c r="G71" s="11"/>
      <c r="H71" s="11"/>
      <c r="I71" s="11"/>
      <c r="J71" s="10" t="str">
        <f aca="false">IF(C71="","",N(H71)+N(I71))</f>
        <v/>
      </c>
      <c r="K71" s="10" t="str">
        <f aca="false">IF(C71="","",MIN(J71,پارامترها!$B$3))</f>
        <v/>
      </c>
      <c r="L71" s="10" t="str">
        <f aca="false">IF(C71="","",MAX(0,J71-پارامترها!$B$3))</f>
        <v/>
      </c>
      <c r="M71" s="11"/>
      <c r="N71" s="11"/>
      <c r="O71" s="11"/>
      <c r="P71" s="11"/>
      <c r="Q71" s="11"/>
      <c r="R71" s="12" t="str">
        <f aca="false">IF(OR(C71="",N(J71)=0),"",K71*2*(N(H71)*پارامترها!$B$4+N(I71)*پارامترها!$B$5)/J71)</f>
        <v/>
      </c>
      <c r="S71" s="12" t="str">
        <f aca="false">IF(C71="","",N(M71)*پارامترها!$B$6+N(N71)*پارامترها!$B$7+N(O71)*پارامترها!$B$8)</f>
        <v/>
      </c>
      <c r="T71" s="12" t="str">
        <f aca="false">IF(C71="","",N(R71)+N(S71))</f>
        <v/>
      </c>
      <c r="U71" s="10" t="str">
        <f aca="false">IF(C71="","",IF(P71&lt;&gt;"بله","ثبت نشده در HIS",IF(N(L71)&gt;0,"ثبت‌شده؛ مازاد بر سقف","ثبت‌شده")))</f>
        <v/>
      </c>
      <c r="V71" s="11"/>
    </row>
    <row r="72" customFormat="false" ht="15" hidden="false" customHeight="false" outlineLevel="0" collapsed="false">
      <c r="A72" s="10" t="str">
        <f aca="false">IF(C72="","",ROW()-3)</f>
        <v/>
      </c>
      <c r="B72" s="11"/>
      <c r="C72" s="11"/>
      <c r="D72" s="11"/>
      <c r="E72" s="11"/>
      <c r="F72" s="11"/>
      <c r="G72" s="11"/>
      <c r="H72" s="11"/>
      <c r="I72" s="11"/>
      <c r="J72" s="10" t="str">
        <f aca="false">IF(C72="","",N(H72)+N(I72))</f>
        <v/>
      </c>
      <c r="K72" s="10" t="str">
        <f aca="false">IF(C72="","",MIN(J72,پارامترها!$B$3))</f>
        <v/>
      </c>
      <c r="L72" s="10" t="str">
        <f aca="false">IF(C72="","",MAX(0,J72-پارامترها!$B$3))</f>
        <v/>
      </c>
      <c r="M72" s="11"/>
      <c r="N72" s="11"/>
      <c r="O72" s="11"/>
      <c r="P72" s="11"/>
      <c r="Q72" s="11"/>
      <c r="R72" s="12" t="str">
        <f aca="false">IF(OR(C72="",N(J72)=0),"",K72*2*(N(H72)*پارامترها!$B$4+N(I72)*پارامترها!$B$5)/J72)</f>
        <v/>
      </c>
      <c r="S72" s="12" t="str">
        <f aca="false">IF(C72="","",N(M72)*پارامترها!$B$6+N(N72)*پارامترها!$B$7+N(O72)*پارامترها!$B$8)</f>
        <v/>
      </c>
      <c r="T72" s="12" t="str">
        <f aca="false">IF(C72="","",N(R72)+N(S72))</f>
        <v/>
      </c>
      <c r="U72" s="10" t="str">
        <f aca="false">IF(C72="","",IF(P72&lt;&gt;"بله","ثبت نشده در HIS",IF(N(L72)&gt;0,"ثبت‌شده؛ مازاد بر سقف","ثبت‌شده")))</f>
        <v/>
      </c>
      <c r="V72" s="11"/>
    </row>
    <row r="73" customFormat="false" ht="15" hidden="false" customHeight="false" outlineLevel="0" collapsed="false">
      <c r="A73" s="10" t="str">
        <f aca="false">IF(C73="","",ROW()-3)</f>
        <v/>
      </c>
      <c r="B73" s="11"/>
      <c r="C73" s="11"/>
      <c r="D73" s="11"/>
      <c r="E73" s="11"/>
      <c r="F73" s="11"/>
      <c r="G73" s="11"/>
      <c r="H73" s="11"/>
      <c r="I73" s="11"/>
      <c r="J73" s="10" t="str">
        <f aca="false">IF(C73="","",N(H73)+N(I73))</f>
        <v/>
      </c>
      <c r="K73" s="10" t="str">
        <f aca="false">IF(C73="","",MIN(J73,پارامترها!$B$3))</f>
        <v/>
      </c>
      <c r="L73" s="10" t="str">
        <f aca="false">IF(C73="","",MAX(0,J73-پارامترها!$B$3))</f>
        <v/>
      </c>
      <c r="M73" s="11"/>
      <c r="N73" s="11"/>
      <c r="O73" s="11"/>
      <c r="P73" s="11"/>
      <c r="Q73" s="11"/>
      <c r="R73" s="12" t="str">
        <f aca="false">IF(OR(C73="",N(J73)=0),"",K73*2*(N(H73)*پارامترها!$B$4+N(I73)*پارامترها!$B$5)/J73)</f>
        <v/>
      </c>
      <c r="S73" s="12" t="str">
        <f aca="false">IF(C73="","",N(M73)*پارامترها!$B$6+N(N73)*پارامترها!$B$7+N(O73)*پارامترها!$B$8)</f>
        <v/>
      </c>
      <c r="T73" s="12" t="str">
        <f aca="false">IF(C73="","",N(R73)+N(S73))</f>
        <v/>
      </c>
      <c r="U73" s="10" t="str">
        <f aca="false">IF(C73="","",IF(P73&lt;&gt;"بله","ثبت نشده در HIS",IF(N(L73)&gt;0,"ثبت‌شده؛ مازاد بر سقف","ثبت‌شده")))</f>
        <v/>
      </c>
      <c r="V73" s="11"/>
    </row>
    <row r="74" customFormat="false" ht="15" hidden="false" customHeight="false" outlineLevel="0" collapsed="false">
      <c r="A74" s="10" t="str">
        <f aca="false">IF(C74="","",ROW()-3)</f>
        <v/>
      </c>
      <c r="B74" s="11"/>
      <c r="C74" s="11"/>
      <c r="D74" s="11"/>
      <c r="E74" s="11"/>
      <c r="F74" s="11"/>
      <c r="G74" s="11"/>
      <c r="H74" s="11"/>
      <c r="I74" s="11"/>
      <c r="J74" s="10" t="str">
        <f aca="false">IF(C74="","",N(H74)+N(I74))</f>
        <v/>
      </c>
      <c r="K74" s="10" t="str">
        <f aca="false">IF(C74="","",MIN(J74,پارامترها!$B$3))</f>
        <v/>
      </c>
      <c r="L74" s="10" t="str">
        <f aca="false">IF(C74="","",MAX(0,J74-پارامترها!$B$3))</f>
        <v/>
      </c>
      <c r="M74" s="11"/>
      <c r="N74" s="11"/>
      <c r="O74" s="11"/>
      <c r="P74" s="11"/>
      <c r="Q74" s="11"/>
      <c r="R74" s="12" t="str">
        <f aca="false">IF(OR(C74="",N(J74)=0),"",K74*2*(N(H74)*پارامترها!$B$4+N(I74)*پارامترها!$B$5)/J74)</f>
        <v/>
      </c>
      <c r="S74" s="12" t="str">
        <f aca="false">IF(C74="","",N(M74)*پارامترها!$B$6+N(N74)*پارامترها!$B$7+N(O74)*پارامترها!$B$8)</f>
        <v/>
      </c>
      <c r="T74" s="12" t="str">
        <f aca="false">IF(C74="","",N(R74)+N(S74))</f>
        <v/>
      </c>
      <c r="U74" s="10" t="str">
        <f aca="false">IF(C74="","",IF(P74&lt;&gt;"بله","ثبت نشده در HIS",IF(N(L74)&gt;0,"ثبت‌شده؛ مازاد بر سقف","ثبت‌شده")))</f>
        <v/>
      </c>
      <c r="V74" s="11"/>
    </row>
    <row r="75" customFormat="false" ht="15" hidden="false" customHeight="false" outlineLevel="0" collapsed="false">
      <c r="A75" s="10" t="str">
        <f aca="false">IF(C75="","",ROW()-3)</f>
        <v/>
      </c>
      <c r="B75" s="11"/>
      <c r="C75" s="11"/>
      <c r="D75" s="11"/>
      <c r="E75" s="11"/>
      <c r="F75" s="11"/>
      <c r="G75" s="11"/>
      <c r="H75" s="11"/>
      <c r="I75" s="11"/>
      <c r="J75" s="10" t="str">
        <f aca="false">IF(C75="","",N(H75)+N(I75))</f>
        <v/>
      </c>
      <c r="K75" s="10" t="str">
        <f aca="false">IF(C75="","",MIN(J75,پارامترها!$B$3))</f>
        <v/>
      </c>
      <c r="L75" s="10" t="str">
        <f aca="false">IF(C75="","",MAX(0,J75-پارامترها!$B$3))</f>
        <v/>
      </c>
      <c r="M75" s="11"/>
      <c r="N75" s="11"/>
      <c r="O75" s="11"/>
      <c r="P75" s="11"/>
      <c r="Q75" s="11"/>
      <c r="R75" s="12" t="str">
        <f aca="false">IF(OR(C75="",N(J75)=0),"",K75*2*(N(H75)*پارامترها!$B$4+N(I75)*پارامترها!$B$5)/J75)</f>
        <v/>
      </c>
      <c r="S75" s="12" t="str">
        <f aca="false">IF(C75="","",N(M75)*پارامترها!$B$6+N(N75)*پارامترها!$B$7+N(O75)*پارامترها!$B$8)</f>
        <v/>
      </c>
      <c r="T75" s="12" t="str">
        <f aca="false">IF(C75="","",N(R75)+N(S75))</f>
        <v/>
      </c>
      <c r="U75" s="10" t="str">
        <f aca="false">IF(C75="","",IF(P75&lt;&gt;"بله","ثبت نشده در HIS",IF(N(L75)&gt;0,"ثبت‌شده؛ مازاد بر سقف","ثبت‌شده")))</f>
        <v/>
      </c>
      <c r="V75" s="11"/>
    </row>
    <row r="76" customFormat="false" ht="15" hidden="false" customHeight="false" outlineLevel="0" collapsed="false">
      <c r="A76" s="10" t="str">
        <f aca="false">IF(C76="","",ROW()-3)</f>
        <v/>
      </c>
      <c r="B76" s="11"/>
      <c r="C76" s="11"/>
      <c r="D76" s="11"/>
      <c r="E76" s="11"/>
      <c r="F76" s="11"/>
      <c r="G76" s="11"/>
      <c r="H76" s="11"/>
      <c r="I76" s="11"/>
      <c r="J76" s="10" t="str">
        <f aca="false">IF(C76="","",N(H76)+N(I76))</f>
        <v/>
      </c>
      <c r="K76" s="10" t="str">
        <f aca="false">IF(C76="","",MIN(J76,پارامترها!$B$3))</f>
        <v/>
      </c>
      <c r="L76" s="10" t="str">
        <f aca="false">IF(C76="","",MAX(0,J76-پارامترها!$B$3))</f>
        <v/>
      </c>
      <c r="M76" s="11"/>
      <c r="N76" s="11"/>
      <c r="O76" s="11"/>
      <c r="P76" s="11"/>
      <c r="Q76" s="11"/>
      <c r="R76" s="12" t="str">
        <f aca="false">IF(OR(C76="",N(J76)=0),"",K76*2*(N(H76)*پارامترها!$B$4+N(I76)*پارامترها!$B$5)/J76)</f>
        <v/>
      </c>
      <c r="S76" s="12" t="str">
        <f aca="false">IF(C76="","",N(M76)*پارامترها!$B$6+N(N76)*پارامترها!$B$7+N(O76)*پارامترها!$B$8)</f>
        <v/>
      </c>
      <c r="T76" s="12" t="str">
        <f aca="false">IF(C76="","",N(R76)+N(S76))</f>
        <v/>
      </c>
      <c r="U76" s="10" t="str">
        <f aca="false">IF(C76="","",IF(P76&lt;&gt;"بله","ثبت نشده در HIS",IF(N(L76)&gt;0,"ثبت‌شده؛ مازاد بر سقف","ثبت‌شده")))</f>
        <v/>
      </c>
      <c r="V76" s="11"/>
    </row>
    <row r="77" customFormat="false" ht="15" hidden="false" customHeight="false" outlineLevel="0" collapsed="false">
      <c r="A77" s="10" t="str">
        <f aca="false">IF(C77="","",ROW()-3)</f>
        <v/>
      </c>
      <c r="B77" s="11"/>
      <c r="C77" s="11"/>
      <c r="D77" s="11"/>
      <c r="E77" s="11"/>
      <c r="F77" s="11"/>
      <c r="G77" s="11"/>
      <c r="H77" s="11"/>
      <c r="I77" s="11"/>
      <c r="J77" s="10" t="str">
        <f aca="false">IF(C77="","",N(H77)+N(I77))</f>
        <v/>
      </c>
      <c r="K77" s="10" t="str">
        <f aca="false">IF(C77="","",MIN(J77,پارامترها!$B$3))</f>
        <v/>
      </c>
      <c r="L77" s="10" t="str">
        <f aca="false">IF(C77="","",MAX(0,J77-پارامترها!$B$3))</f>
        <v/>
      </c>
      <c r="M77" s="11"/>
      <c r="N77" s="11"/>
      <c r="O77" s="11"/>
      <c r="P77" s="11"/>
      <c r="Q77" s="11"/>
      <c r="R77" s="12" t="str">
        <f aca="false">IF(OR(C77="",N(J77)=0),"",K77*2*(N(H77)*پارامترها!$B$4+N(I77)*پارامترها!$B$5)/J77)</f>
        <v/>
      </c>
      <c r="S77" s="12" t="str">
        <f aca="false">IF(C77="","",N(M77)*پارامترها!$B$6+N(N77)*پارامترها!$B$7+N(O77)*پارامترها!$B$8)</f>
        <v/>
      </c>
      <c r="T77" s="12" t="str">
        <f aca="false">IF(C77="","",N(R77)+N(S77))</f>
        <v/>
      </c>
      <c r="U77" s="10" t="str">
        <f aca="false">IF(C77="","",IF(P77&lt;&gt;"بله","ثبت نشده در HIS",IF(N(L77)&gt;0,"ثبت‌شده؛ مازاد بر سقف","ثبت‌شده")))</f>
        <v/>
      </c>
      <c r="V77" s="11"/>
    </row>
    <row r="78" customFormat="false" ht="15" hidden="false" customHeight="false" outlineLevel="0" collapsed="false">
      <c r="A78" s="10" t="str">
        <f aca="false">IF(C78="","",ROW()-3)</f>
        <v/>
      </c>
      <c r="B78" s="11"/>
      <c r="C78" s="11"/>
      <c r="D78" s="11"/>
      <c r="E78" s="11"/>
      <c r="F78" s="11"/>
      <c r="G78" s="11"/>
      <c r="H78" s="11"/>
      <c r="I78" s="11"/>
      <c r="J78" s="10" t="str">
        <f aca="false">IF(C78="","",N(H78)+N(I78))</f>
        <v/>
      </c>
      <c r="K78" s="10" t="str">
        <f aca="false">IF(C78="","",MIN(J78,پارامترها!$B$3))</f>
        <v/>
      </c>
      <c r="L78" s="10" t="str">
        <f aca="false">IF(C78="","",MAX(0,J78-پارامترها!$B$3))</f>
        <v/>
      </c>
      <c r="M78" s="11"/>
      <c r="N78" s="11"/>
      <c r="O78" s="11"/>
      <c r="P78" s="11"/>
      <c r="Q78" s="11"/>
      <c r="R78" s="12" t="str">
        <f aca="false">IF(OR(C78="",N(J78)=0),"",K78*2*(N(H78)*پارامترها!$B$4+N(I78)*پارامترها!$B$5)/J78)</f>
        <v/>
      </c>
      <c r="S78" s="12" t="str">
        <f aca="false">IF(C78="","",N(M78)*پارامترها!$B$6+N(N78)*پارامترها!$B$7+N(O78)*پارامترها!$B$8)</f>
        <v/>
      </c>
      <c r="T78" s="12" t="str">
        <f aca="false">IF(C78="","",N(R78)+N(S78))</f>
        <v/>
      </c>
      <c r="U78" s="10" t="str">
        <f aca="false">IF(C78="","",IF(P78&lt;&gt;"بله","ثبت نشده در HIS",IF(N(L78)&gt;0,"ثبت‌شده؛ مازاد بر سقف","ثبت‌شده")))</f>
        <v/>
      </c>
      <c r="V78" s="11"/>
    </row>
    <row r="79" customFormat="false" ht="15" hidden="false" customHeight="false" outlineLevel="0" collapsed="false">
      <c r="A79" s="10" t="str">
        <f aca="false">IF(C79="","",ROW()-3)</f>
        <v/>
      </c>
      <c r="B79" s="11"/>
      <c r="C79" s="11"/>
      <c r="D79" s="11"/>
      <c r="E79" s="11"/>
      <c r="F79" s="11"/>
      <c r="G79" s="11"/>
      <c r="H79" s="11"/>
      <c r="I79" s="11"/>
      <c r="J79" s="10" t="str">
        <f aca="false">IF(C79="","",N(H79)+N(I79))</f>
        <v/>
      </c>
      <c r="K79" s="10" t="str">
        <f aca="false">IF(C79="","",MIN(J79,پارامترها!$B$3))</f>
        <v/>
      </c>
      <c r="L79" s="10" t="str">
        <f aca="false">IF(C79="","",MAX(0,J79-پارامترها!$B$3))</f>
        <v/>
      </c>
      <c r="M79" s="11"/>
      <c r="N79" s="11"/>
      <c r="O79" s="11"/>
      <c r="P79" s="11"/>
      <c r="Q79" s="11"/>
      <c r="R79" s="12" t="str">
        <f aca="false">IF(OR(C79="",N(J79)=0),"",K79*2*(N(H79)*پارامترها!$B$4+N(I79)*پارامترها!$B$5)/J79)</f>
        <v/>
      </c>
      <c r="S79" s="12" t="str">
        <f aca="false">IF(C79="","",N(M79)*پارامترها!$B$6+N(N79)*پارامترها!$B$7+N(O79)*پارامترها!$B$8)</f>
        <v/>
      </c>
      <c r="T79" s="12" t="str">
        <f aca="false">IF(C79="","",N(R79)+N(S79))</f>
        <v/>
      </c>
      <c r="U79" s="10" t="str">
        <f aca="false">IF(C79="","",IF(P79&lt;&gt;"بله","ثبت نشده در HIS",IF(N(L79)&gt;0,"ثبت‌شده؛ مازاد بر سقف","ثبت‌شده")))</f>
        <v/>
      </c>
      <c r="V79" s="11"/>
    </row>
    <row r="80" customFormat="false" ht="15" hidden="false" customHeight="false" outlineLevel="0" collapsed="false">
      <c r="A80" s="10" t="str">
        <f aca="false">IF(C80="","",ROW()-3)</f>
        <v/>
      </c>
      <c r="B80" s="11"/>
      <c r="C80" s="11"/>
      <c r="D80" s="11"/>
      <c r="E80" s="11"/>
      <c r="F80" s="11"/>
      <c r="G80" s="11"/>
      <c r="H80" s="11"/>
      <c r="I80" s="11"/>
      <c r="J80" s="10" t="str">
        <f aca="false">IF(C80="","",N(H80)+N(I80))</f>
        <v/>
      </c>
      <c r="K80" s="10" t="str">
        <f aca="false">IF(C80="","",MIN(J80,پارامترها!$B$3))</f>
        <v/>
      </c>
      <c r="L80" s="10" t="str">
        <f aca="false">IF(C80="","",MAX(0,J80-پارامترها!$B$3))</f>
        <v/>
      </c>
      <c r="M80" s="11"/>
      <c r="N80" s="11"/>
      <c r="O80" s="11"/>
      <c r="P80" s="11"/>
      <c r="Q80" s="11"/>
      <c r="R80" s="12" t="str">
        <f aca="false">IF(OR(C80="",N(J80)=0),"",K80*2*(N(H80)*پارامترها!$B$4+N(I80)*پارامترها!$B$5)/J80)</f>
        <v/>
      </c>
      <c r="S80" s="12" t="str">
        <f aca="false">IF(C80="","",N(M80)*پارامترها!$B$6+N(N80)*پارامترها!$B$7+N(O80)*پارامترها!$B$8)</f>
        <v/>
      </c>
      <c r="T80" s="12" t="str">
        <f aca="false">IF(C80="","",N(R80)+N(S80))</f>
        <v/>
      </c>
      <c r="U80" s="10" t="str">
        <f aca="false">IF(C80="","",IF(P80&lt;&gt;"بله","ثبت نشده در HIS",IF(N(L80)&gt;0,"ثبت‌شده؛ مازاد بر سقف","ثبت‌شده")))</f>
        <v/>
      </c>
      <c r="V80" s="11"/>
    </row>
    <row r="81" customFormat="false" ht="15" hidden="false" customHeight="false" outlineLevel="0" collapsed="false">
      <c r="A81" s="10" t="str">
        <f aca="false">IF(C81="","",ROW()-3)</f>
        <v/>
      </c>
      <c r="B81" s="11"/>
      <c r="C81" s="11"/>
      <c r="D81" s="11"/>
      <c r="E81" s="11"/>
      <c r="F81" s="11"/>
      <c r="G81" s="11"/>
      <c r="H81" s="11"/>
      <c r="I81" s="11"/>
      <c r="J81" s="10" t="str">
        <f aca="false">IF(C81="","",N(H81)+N(I81))</f>
        <v/>
      </c>
      <c r="K81" s="10" t="str">
        <f aca="false">IF(C81="","",MIN(J81,پارامترها!$B$3))</f>
        <v/>
      </c>
      <c r="L81" s="10" t="str">
        <f aca="false">IF(C81="","",MAX(0,J81-پارامترها!$B$3))</f>
        <v/>
      </c>
      <c r="M81" s="11"/>
      <c r="N81" s="11"/>
      <c r="O81" s="11"/>
      <c r="P81" s="11"/>
      <c r="Q81" s="11"/>
      <c r="R81" s="12" t="str">
        <f aca="false">IF(OR(C81="",N(J81)=0),"",K81*2*(N(H81)*پارامترها!$B$4+N(I81)*پارامترها!$B$5)/J81)</f>
        <v/>
      </c>
      <c r="S81" s="12" t="str">
        <f aca="false">IF(C81="","",N(M81)*پارامترها!$B$6+N(N81)*پارامترها!$B$7+N(O81)*پارامترها!$B$8)</f>
        <v/>
      </c>
      <c r="T81" s="12" t="str">
        <f aca="false">IF(C81="","",N(R81)+N(S81))</f>
        <v/>
      </c>
      <c r="U81" s="10" t="str">
        <f aca="false">IF(C81="","",IF(P81&lt;&gt;"بله","ثبت نشده در HIS",IF(N(L81)&gt;0,"ثبت‌شده؛ مازاد بر سقف","ثبت‌شده")))</f>
        <v/>
      </c>
      <c r="V81" s="11"/>
    </row>
    <row r="82" customFormat="false" ht="15" hidden="false" customHeight="false" outlineLevel="0" collapsed="false">
      <c r="A82" s="10" t="str">
        <f aca="false">IF(C82="","",ROW()-3)</f>
        <v/>
      </c>
      <c r="B82" s="11"/>
      <c r="C82" s="11"/>
      <c r="D82" s="11"/>
      <c r="E82" s="11"/>
      <c r="F82" s="11"/>
      <c r="G82" s="11"/>
      <c r="H82" s="11"/>
      <c r="I82" s="11"/>
      <c r="J82" s="10" t="str">
        <f aca="false">IF(C82="","",N(H82)+N(I82))</f>
        <v/>
      </c>
      <c r="K82" s="10" t="str">
        <f aca="false">IF(C82="","",MIN(J82,پارامترها!$B$3))</f>
        <v/>
      </c>
      <c r="L82" s="10" t="str">
        <f aca="false">IF(C82="","",MAX(0,J82-پارامترها!$B$3))</f>
        <v/>
      </c>
      <c r="M82" s="11"/>
      <c r="N82" s="11"/>
      <c r="O82" s="11"/>
      <c r="P82" s="11"/>
      <c r="Q82" s="11"/>
      <c r="R82" s="12" t="str">
        <f aca="false">IF(OR(C82="",N(J82)=0),"",K82*2*(N(H82)*پارامترها!$B$4+N(I82)*پارامترها!$B$5)/J82)</f>
        <v/>
      </c>
      <c r="S82" s="12" t="str">
        <f aca="false">IF(C82="","",N(M82)*پارامترها!$B$6+N(N82)*پارامترها!$B$7+N(O82)*پارامترها!$B$8)</f>
        <v/>
      </c>
      <c r="T82" s="12" t="str">
        <f aca="false">IF(C82="","",N(R82)+N(S82))</f>
        <v/>
      </c>
      <c r="U82" s="10" t="str">
        <f aca="false">IF(C82="","",IF(P82&lt;&gt;"بله","ثبت نشده در HIS",IF(N(L82)&gt;0,"ثبت‌شده؛ مازاد بر سقف","ثبت‌شده")))</f>
        <v/>
      </c>
      <c r="V82" s="11"/>
    </row>
    <row r="83" customFormat="false" ht="15" hidden="false" customHeight="false" outlineLevel="0" collapsed="false">
      <c r="A83" s="10" t="str">
        <f aca="false">IF(C83="","",ROW()-3)</f>
        <v/>
      </c>
      <c r="B83" s="11"/>
      <c r="C83" s="11"/>
      <c r="D83" s="11"/>
      <c r="E83" s="11"/>
      <c r="F83" s="11"/>
      <c r="G83" s="11"/>
      <c r="H83" s="11"/>
      <c r="I83" s="11"/>
      <c r="J83" s="10" t="str">
        <f aca="false">IF(C83="","",N(H83)+N(I83))</f>
        <v/>
      </c>
      <c r="K83" s="10" t="str">
        <f aca="false">IF(C83="","",MIN(J83,پارامترها!$B$3))</f>
        <v/>
      </c>
      <c r="L83" s="10" t="str">
        <f aca="false">IF(C83="","",MAX(0,J83-پارامترها!$B$3))</f>
        <v/>
      </c>
      <c r="M83" s="11"/>
      <c r="N83" s="11"/>
      <c r="O83" s="11"/>
      <c r="P83" s="11"/>
      <c r="Q83" s="11"/>
      <c r="R83" s="12" t="str">
        <f aca="false">IF(OR(C83="",N(J83)=0),"",K83*2*(N(H83)*پارامترها!$B$4+N(I83)*پارامترها!$B$5)/J83)</f>
        <v/>
      </c>
      <c r="S83" s="12" t="str">
        <f aca="false">IF(C83="","",N(M83)*پارامترها!$B$6+N(N83)*پارامترها!$B$7+N(O83)*پارامترها!$B$8)</f>
        <v/>
      </c>
      <c r="T83" s="12" t="str">
        <f aca="false">IF(C83="","",N(R83)+N(S83))</f>
        <v/>
      </c>
      <c r="U83" s="10" t="str">
        <f aca="false">IF(C83="","",IF(P83&lt;&gt;"بله","ثبت نشده در HIS",IF(N(L83)&gt;0,"ثبت‌شده؛ مازاد بر سقف","ثبت‌شده")))</f>
        <v/>
      </c>
      <c r="V83" s="11"/>
    </row>
    <row r="84" customFormat="false" ht="15" hidden="false" customHeight="false" outlineLevel="0" collapsed="false">
      <c r="A84" s="10" t="str">
        <f aca="false">IF(C84="","",ROW()-3)</f>
        <v/>
      </c>
      <c r="B84" s="11"/>
      <c r="C84" s="11"/>
      <c r="D84" s="11"/>
      <c r="E84" s="11"/>
      <c r="F84" s="11"/>
      <c r="G84" s="11"/>
      <c r="H84" s="11"/>
      <c r="I84" s="11"/>
      <c r="J84" s="10" t="str">
        <f aca="false">IF(C84="","",N(H84)+N(I84))</f>
        <v/>
      </c>
      <c r="K84" s="10" t="str">
        <f aca="false">IF(C84="","",MIN(J84,پارامترها!$B$3))</f>
        <v/>
      </c>
      <c r="L84" s="10" t="str">
        <f aca="false">IF(C84="","",MAX(0,J84-پارامترها!$B$3))</f>
        <v/>
      </c>
      <c r="M84" s="11"/>
      <c r="N84" s="11"/>
      <c r="O84" s="11"/>
      <c r="P84" s="11"/>
      <c r="Q84" s="11"/>
      <c r="R84" s="12" t="str">
        <f aca="false">IF(OR(C84="",N(J84)=0),"",K84*2*(N(H84)*پارامترها!$B$4+N(I84)*پارامترها!$B$5)/J84)</f>
        <v/>
      </c>
      <c r="S84" s="12" t="str">
        <f aca="false">IF(C84="","",N(M84)*پارامترها!$B$6+N(N84)*پارامترها!$B$7+N(O84)*پارامترها!$B$8)</f>
        <v/>
      </c>
      <c r="T84" s="12" t="str">
        <f aca="false">IF(C84="","",N(R84)+N(S84))</f>
        <v/>
      </c>
      <c r="U84" s="10" t="str">
        <f aca="false">IF(C84="","",IF(P84&lt;&gt;"بله","ثبت نشده در HIS",IF(N(L84)&gt;0,"ثبت‌شده؛ مازاد بر سقف","ثبت‌شده")))</f>
        <v/>
      </c>
      <c r="V84" s="11"/>
    </row>
    <row r="85" customFormat="false" ht="15" hidden="false" customHeight="false" outlineLevel="0" collapsed="false">
      <c r="A85" s="10" t="str">
        <f aca="false">IF(C85="","",ROW()-3)</f>
        <v/>
      </c>
      <c r="B85" s="11"/>
      <c r="C85" s="11"/>
      <c r="D85" s="11"/>
      <c r="E85" s="11"/>
      <c r="F85" s="11"/>
      <c r="G85" s="11"/>
      <c r="H85" s="11"/>
      <c r="I85" s="11"/>
      <c r="J85" s="10" t="str">
        <f aca="false">IF(C85="","",N(H85)+N(I85))</f>
        <v/>
      </c>
      <c r="K85" s="10" t="str">
        <f aca="false">IF(C85="","",MIN(J85,پارامترها!$B$3))</f>
        <v/>
      </c>
      <c r="L85" s="10" t="str">
        <f aca="false">IF(C85="","",MAX(0,J85-پارامترها!$B$3))</f>
        <v/>
      </c>
      <c r="M85" s="11"/>
      <c r="N85" s="11"/>
      <c r="O85" s="11"/>
      <c r="P85" s="11"/>
      <c r="Q85" s="11"/>
      <c r="R85" s="12" t="str">
        <f aca="false">IF(OR(C85="",N(J85)=0),"",K85*2*(N(H85)*پارامترها!$B$4+N(I85)*پارامترها!$B$5)/J85)</f>
        <v/>
      </c>
      <c r="S85" s="12" t="str">
        <f aca="false">IF(C85="","",N(M85)*پارامترها!$B$6+N(N85)*پارامترها!$B$7+N(O85)*پارامترها!$B$8)</f>
        <v/>
      </c>
      <c r="T85" s="12" t="str">
        <f aca="false">IF(C85="","",N(R85)+N(S85))</f>
        <v/>
      </c>
      <c r="U85" s="10" t="str">
        <f aca="false">IF(C85="","",IF(P85&lt;&gt;"بله","ثبت نشده در HIS",IF(N(L85)&gt;0,"ثبت‌شده؛ مازاد بر سقف","ثبت‌شده")))</f>
        <v/>
      </c>
      <c r="V85" s="11"/>
    </row>
    <row r="86" customFormat="false" ht="15" hidden="false" customHeight="false" outlineLevel="0" collapsed="false">
      <c r="A86" s="10" t="str">
        <f aca="false">IF(C86="","",ROW()-3)</f>
        <v/>
      </c>
      <c r="B86" s="11"/>
      <c r="C86" s="11"/>
      <c r="D86" s="11"/>
      <c r="E86" s="11"/>
      <c r="F86" s="11"/>
      <c r="G86" s="11"/>
      <c r="H86" s="11"/>
      <c r="I86" s="11"/>
      <c r="J86" s="10" t="str">
        <f aca="false">IF(C86="","",N(H86)+N(I86))</f>
        <v/>
      </c>
      <c r="K86" s="10" t="str">
        <f aca="false">IF(C86="","",MIN(J86,پارامترها!$B$3))</f>
        <v/>
      </c>
      <c r="L86" s="10" t="str">
        <f aca="false">IF(C86="","",MAX(0,J86-پارامترها!$B$3))</f>
        <v/>
      </c>
      <c r="M86" s="11"/>
      <c r="N86" s="11"/>
      <c r="O86" s="11"/>
      <c r="P86" s="11"/>
      <c r="Q86" s="11"/>
      <c r="R86" s="12" t="str">
        <f aca="false">IF(OR(C86="",N(J86)=0),"",K86*2*(N(H86)*پارامترها!$B$4+N(I86)*پارامترها!$B$5)/J86)</f>
        <v/>
      </c>
      <c r="S86" s="12" t="str">
        <f aca="false">IF(C86="","",N(M86)*پارامترها!$B$6+N(N86)*پارامترها!$B$7+N(O86)*پارامترها!$B$8)</f>
        <v/>
      </c>
      <c r="T86" s="12" t="str">
        <f aca="false">IF(C86="","",N(R86)+N(S86))</f>
        <v/>
      </c>
      <c r="U86" s="10" t="str">
        <f aca="false">IF(C86="","",IF(P86&lt;&gt;"بله","ثبت نشده در HIS",IF(N(L86)&gt;0,"ثبت‌شده؛ مازاد بر سقف","ثبت‌شده")))</f>
        <v/>
      </c>
      <c r="V86" s="11"/>
    </row>
    <row r="87" customFormat="false" ht="15" hidden="false" customHeight="false" outlineLevel="0" collapsed="false">
      <c r="A87" s="10" t="str">
        <f aca="false">IF(C87="","",ROW()-3)</f>
        <v/>
      </c>
      <c r="B87" s="11"/>
      <c r="C87" s="11"/>
      <c r="D87" s="11"/>
      <c r="E87" s="11"/>
      <c r="F87" s="11"/>
      <c r="G87" s="11"/>
      <c r="H87" s="11"/>
      <c r="I87" s="11"/>
      <c r="J87" s="10" t="str">
        <f aca="false">IF(C87="","",N(H87)+N(I87))</f>
        <v/>
      </c>
      <c r="K87" s="10" t="str">
        <f aca="false">IF(C87="","",MIN(J87,پارامترها!$B$3))</f>
        <v/>
      </c>
      <c r="L87" s="10" t="str">
        <f aca="false">IF(C87="","",MAX(0,J87-پارامترها!$B$3))</f>
        <v/>
      </c>
      <c r="M87" s="11"/>
      <c r="N87" s="11"/>
      <c r="O87" s="11"/>
      <c r="P87" s="11"/>
      <c r="Q87" s="11"/>
      <c r="R87" s="12" t="str">
        <f aca="false">IF(OR(C87="",N(J87)=0),"",K87*2*(N(H87)*پارامترها!$B$4+N(I87)*پارامترها!$B$5)/J87)</f>
        <v/>
      </c>
      <c r="S87" s="12" t="str">
        <f aca="false">IF(C87="","",N(M87)*پارامترها!$B$6+N(N87)*پارامترها!$B$7+N(O87)*پارامترها!$B$8)</f>
        <v/>
      </c>
      <c r="T87" s="12" t="str">
        <f aca="false">IF(C87="","",N(R87)+N(S87))</f>
        <v/>
      </c>
      <c r="U87" s="10" t="str">
        <f aca="false">IF(C87="","",IF(P87&lt;&gt;"بله","ثبت نشده در HIS",IF(N(L87)&gt;0,"ثبت‌شده؛ مازاد بر سقف","ثبت‌شده")))</f>
        <v/>
      </c>
      <c r="V87" s="11"/>
    </row>
    <row r="88" customFormat="false" ht="15" hidden="false" customHeight="false" outlineLevel="0" collapsed="false">
      <c r="A88" s="10" t="str">
        <f aca="false">IF(C88="","",ROW()-3)</f>
        <v/>
      </c>
      <c r="B88" s="11"/>
      <c r="C88" s="11"/>
      <c r="D88" s="11"/>
      <c r="E88" s="11"/>
      <c r="F88" s="11"/>
      <c r="G88" s="11"/>
      <c r="H88" s="11"/>
      <c r="I88" s="11"/>
      <c r="J88" s="10" t="str">
        <f aca="false">IF(C88="","",N(H88)+N(I88))</f>
        <v/>
      </c>
      <c r="K88" s="10" t="str">
        <f aca="false">IF(C88="","",MIN(J88,پارامترها!$B$3))</f>
        <v/>
      </c>
      <c r="L88" s="10" t="str">
        <f aca="false">IF(C88="","",MAX(0,J88-پارامترها!$B$3))</f>
        <v/>
      </c>
      <c r="M88" s="11"/>
      <c r="N88" s="11"/>
      <c r="O88" s="11"/>
      <c r="P88" s="11"/>
      <c r="Q88" s="11"/>
      <c r="R88" s="12" t="str">
        <f aca="false">IF(OR(C88="",N(J88)=0),"",K88*2*(N(H88)*پارامترها!$B$4+N(I88)*پارامترها!$B$5)/J88)</f>
        <v/>
      </c>
      <c r="S88" s="12" t="str">
        <f aca="false">IF(C88="","",N(M88)*پارامترها!$B$6+N(N88)*پارامترها!$B$7+N(O88)*پارامترها!$B$8)</f>
        <v/>
      </c>
      <c r="T88" s="12" t="str">
        <f aca="false">IF(C88="","",N(R88)+N(S88))</f>
        <v/>
      </c>
      <c r="U88" s="10" t="str">
        <f aca="false">IF(C88="","",IF(P88&lt;&gt;"بله","ثبت نشده در HIS",IF(N(L88)&gt;0,"ثبت‌شده؛ مازاد بر سقف","ثبت‌شده")))</f>
        <v/>
      </c>
      <c r="V88" s="11"/>
    </row>
    <row r="89" customFormat="false" ht="15" hidden="false" customHeight="false" outlineLevel="0" collapsed="false">
      <c r="A89" s="10" t="str">
        <f aca="false">IF(C89="","",ROW()-3)</f>
        <v/>
      </c>
      <c r="B89" s="11"/>
      <c r="C89" s="11"/>
      <c r="D89" s="11"/>
      <c r="E89" s="11"/>
      <c r="F89" s="11"/>
      <c r="G89" s="11"/>
      <c r="H89" s="11"/>
      <c r="I89" s="11"/>
      <c r="J89" s="10" t="str">
        <f aca="false">IF(C89="","",N(H89)+N(I89))</f>
        <v/>
      </c>
      <c r="K89" s="10" t="str">
        <f aca="false">IF(C89="","",MIN(J89,پارامترها!$B$3))</f>
        <v/>
      </c>
      <c r="L89" s="10" t="str">
        <f aca="false">IF(C89="","",MAX(0,J89-پارامترها!$B$3))</f>
        <v/>
      </c>
      <c r="M89" s="11"/>
      <c r="N89" s="11"/>
      <c r="O89" s="11"/>
      <c r="P89" s="11"/>
      <c r="Q89" s="11"/>
      <c r="R89" s="12" t="str">
        <f aca="false">IF(OR(C89="",N(J89)=0),"",K89*2*(N(H89)*پارامترها!$B$4+N(I89)*پارامترها!$B$5)/J89)</f>
        <v/>
      </c>
      <c r="S89" s="12" t="str">
        <f aca="false">IF(C89="","",N(M89)*پارامترها!$B$6+N(N89)*پارامترها!$B$7+N(O89)*پارامترها!$B$8)</f>
        <v/>
      </c>
      <c r="T89" s="12" t="str">
        <f aca="false">IF(C89="","",N(R89)+N(S89))</f>
        <v/>
      </c>
      <c r="U89" s="10" t="str">
        <f aca="false">IF(C89="","",IF(P89&lt;&gt;"بله","ثبت نشده در HIS",IF(N(L89)&gt;0,"ثبت‌شده؛ مازاد بر سقف","ثبت‌شده")))</f>
        <v/>
      </c>
      <c r="V89" s="11"/>
    </row>
    <row r="90" customFormat="false" ht="15" hidden="false" customHeight="false" outlineLevel="0" collapsed="false">
      <c r="A90" s="10" t="str">
        <f aca="false">IF(C90="","",ROW()-3)</f>
        <v/>
      </c>
      <c r="B90" s="11"/>
      <c r="C90" s="11"/>
      <c r="D90" s="11"/>
      <c r="E90" s="11"/>
      <c r="F90" s="11"/>
      <c r="G90" s="11"/>
      <c r="H90" s="11"/>
      <c r="I90" s="11"/>
      <c r="J90" s="10" t="str">
        <f aca="false">IF(C90="","",N(H90)+N(I90))</f>
        <v/>
      </c>
      <c r="K90" s="10" t="str">
        <f aca="false">IF(C90="","",MIN(J90,پارامترها!$B$3))</f>
        <v/>
      </c>
      <c r="L90" s="10" t="str">
        <f aca="false">IF(C90="","",MAX(0,J90-پارامترها!$B$3))</f>
        <v/>
      </c>
      <c r="M90" s="11"/>
      <c r="N90" s="11"/>
      <c r="O90" s="11"/>
      <c r="P90" s="11"/>
      <c r="Q90" s="11"/>
      <c r="R90" s="12" t="str">
        <f aca="false">IF(OR(C90="",N(J90)=0),"",K90*2*(N(H90)*پارامترها!$B$4+N(I90)*پارامترها!$B$5)/J90)</f>
        <v/>
      </c>
      <c r="S90" s="12" t="str">
        <f aca="false">IF(C90="","",N(M90)*پارامترها!$B$6+N(N90)*پارامترها!$B$7+N(O90)*پارامترها!$B$8)</f>
        <v/>
      </c>
      <c r="T90" s="12" t="str">
        <f aca="false">IF(C90="","",N(R90)+N(S90))</f>
        <v/>
      </c>
      <c r="U90" s="10" t="str">
        <f aca="false">IF(C90="","",IF(P90&lt;&gt;"بله","ثبت نشده در HIS",IF(N(L90)&gt;0,"ثبت‌شده؛ مازاد بر سقف","ثبت‌شده")))</f>
        <v/>
      </c>
      <c r="V90" s="11"/>
    </row>
    <row r="91" customFormat="false" ht="15" hidden="false" customHeight="false" outlineLevel="0" collapsed="false">
      <c r="A91" s="10" t="str">
        <f aca="false">IF(C91="","",ROW()-3)</f>
        <v/>
      </c>
      <c r="B91" s="11"/>
      <c r="C91" s="11"/>
      <c r="D91" s="11"/>
      <c r="E91" s="11"/>
      <c r="F91" s="11"/>
      <c r="G91" s="11"/>
      <c r="H91" s="11"/>
      <c r="I91" s="11"/>
      <c r="J91" s="10" t="str">
        <f aca="false">IF(C91="","",N(H91)+N(I91))</f>
        <v/>
      </c>
      <c r="K91" s="10" t="str">
        <f aca="false">IF(C91="","",MIN(J91,پارامترها!$B$3))</f>
        <v/>
      </c>
      <c r="L91" s="10" t="str">
        <f aca="false">IF(C91="","",MAX(0,J91-پارامترها!$B$3))</f>
        <v/>
      </c>
      <c r="M91" s="11"/>
      <c r="N91" s="11"/>
      <c r="O91" s="11"/>
      <c r="P91" s="11"/>
      <c r="Q91" s="11"/>
      <c r="R91" s="12" t="str">
        <f aca="false">IF(OR(C91="",N(J91)=0),"",K91*2*(N(H91)*پارامترها!$B$4+N(I91)*پارامترها!$B$5)/J91)</f>
        <v/>
      </c>
      <c r="S91" s="12" t="str">
        <f aca="false">IF(C91="","",N(M91)*پارامترها!$B$6+N(N91)*پارامترها!$B$7+N(O91)*پارامترها!$B$8)</f>
        <v/>
      </c>
      <c r="T91" s="12" t="str">
        <f aca="false">IF(C91="","",N(R91)+N(S91))</f>
        <v/>
      </c>
      <c r="U91" s="10" t="str">
        <f aca="false">IF(C91="","",IF(P91&lt;&gt;"بله","ثبت نشده در HIS",IF(N(L91)&gt;0,"ثبت‌شده؛ مازاد بر سقف","ثبت‌شده")))</f>
        <v/>
      </c>
      <c r="V91" s="11"/>
    </row>
    <row r="92" customFormat="false" ht="15" hidden="false" customHeight="false" outlineLevel="0" collapsed="false">
      <c r="A92" s="10" t="str">
        <f aca="false">IF(C92="","",ROW()-3)</f>
        <v/>
      </c>
      <c r="B92" s="11"/>
      <c r="C92" s="11"/>
      <c r="D92" s="11"/>
      <c r="E92" s="11"/>
      <c r="F92" s="11"/>
      <c r="G92" s="11"/>
      <c r="H92" s="11"/>
      <c r="I92" s="11"/>
      <c r="J92" s="10" t="str">
        <f aca="false">IF(C92="","",N(H92)+N(I92))</f>
        <v/>
      </c>
      <c r="K92" s="10" t="str">
        <f aca="false">IF(C92="","",MIN(J92,پارامترها!$B$3))</f>
        <v/>
      </c>
      <c r="L92" s="10" t="str">
        <f aca="false">IF(C92="","",MAX(0,J92-پارامترها!$B$3))</f>
        <v/>
      </c>
      <c r="M92" s="11"/>
      <c r="N92" s="11"/>
      <c r="O92" s="11"/>
      <c r="P92" s="11"/>
      <c r="Q92" s="11"/>
      <c r="R92" s="12" t="str">
        <f aca="false">IF(OR(C92="",N(J92)=0),"",K92*2*(N(H92)*پارامترها!$B$4+N(I92)*پارامترها!$B$5)/J92)</f>
        <v/>
      </c>
      <c r="S92" s="12" t="str">
        <f aca="false">IF(C92="","",N(M92)*پارامترها!$B$6+N(N92)*پارامترها!$B$7+N(O92)*پارامترها!$B$8)</f>
        <v/>
      </c>
      <c r="T92" s="12" t="str">
        <f aca="false">IF(C92="","",N(R92)+N(S92))</f>
        <v/>
      </c>
      <c r="U92" s="10" t="str">
        <f aca="false">IF(C92="","",IF(P92&lt;&gt;"بله","ثبت نشده در HIS",IF(N(L92)&gt;0,"ثبت‌شده؛ مازاد بر سقف","ثبت‌شده")))</f>
        <v/>
      </c>
      <c r="V92" s="11"/>
    </row>
    <row r="93" customFormat="false" ht="15" hidden="false" customHeight="false" outlineLevel="0" collapsed="false">
      <c r="A93" s="10" t="str">
        <f aca="false">IF(C93="","",ROW()-3)</f>
        <v/>
      </c>
      <c r="B93" s="11"/>
      <c r="C93" s="11"/>
      <c r="D93" s="11"/>
      <c r="E93" s="11"/>
      <c r="F93" s="11"/>
      <c r="G93" s="11"/>
      <c r="H93" s="11"/>
      <c r="I93" s="11"/>
      <c r="J93" s="10" t="str">
        <f aca="false">IF(C93="","",N(H93)+N(I93))</f>
        <v/>
      </c>
      <c r="K93" s="10" t="str">
        <f aca="false">IF(C93="","",MIN(J93,پارامترها!$B$3))</f>
        <v/>
      </c>
      <c r="L93" s="10" t="str">
        <f aca="false">IF(C93="","",MAX(0,J93-پارامترها!$B$3))</f>
        <v/>
      </c>
      <c r="M93" s="11"/>
      <c r="N93" s="11"/>
      <c r="O93" s="11"/>
      <c r="P93" s="11"/>
      <c r="Q93" s="11"/>
      <c r="R93" s="12" t="str">
        <f aca="false">IF(OR(C93="",N(J93)=0),"",K93*2*(N(H93)*پارامترها!$B$4+N(I93)*پارامترها!$B$5)/J93)</f>
        <v/>
      </c>
      <c r="S93" s="12" t="str">
        <f aca="false">IF(C93="","",N(M93)*پارامترها!$B$6+N(N93)*پارامترها!$B$7+N(O93)*پارامترها!$B$8)</f>
        <v/>
      </c>
      <c r="T93" s="12" t="str">
        <f aca="false">IF(C93="","",N(R93)+N(S93))</f>
        <v/>
      </c>
      <c r="U93" s="10" t="str">
        <f aca="false">IF(C93="","",IF(P93&lt;&gt;"بله","ثبت نشده در HIS",IF(N(L93)&gt;0,"ثبت‌شده؛ مازاد بر سقف","ثبت‌شده")))</f>
        <v/>
      </c>
      <c r="V93" s="11"/>
    </row>
    <row r="94" customFormat="false" ht="15" hidden="false" customHeight="false" outlineLevel="0" collapsed="false">
      <c r="A94" s="10" t="str">
        <f aca="false">IF(C94="","",ROW()-3)</f>
        <v/>
      </c>
      <c r="B94" s="11"/>
      <c r="C94" s="11"/>
      <c r="D94" s="11"/>
      <c r="E94" s="11"/>
      <c r="F94" s="11"/>
      <c r="G94" s="11"/>
      <c r="H94" s="11"/>
      <c r="I94" s="11"/>
      <c r="J94" s="10" t="str">
        <f aca="false">IF(C94="","",N(H94)+N(I94))</f>
        <v/>
      </c>
      <c r="K94" s="10" t="str">
        <f aca="false">IF(C94="","",MIN(J94,پارامترها!$B$3))</f>
        <v/>
      </c>
      <c r="L94" s="10" t="str">
        <f aca="false">IF(C94="","",MAX(0,J94-پارامترها!$B$3))</f>
        <v/>
      </c>
      <c r="M94" s="11"/>
      <c r="N94" s="11"/>
      <c r="O94" s="11"/>
      <c r="P94" s="11"/>
      <c r="Q94" s="11"/>
      <c r="R94" s="12" t="str">
        <f aca="false">IF(OR(C94="",N(J94)=0),"",K94*2*(N(H94)*پارامترها!$B$4+N(I94)*پارامترها!$B$5)/J94)</f>
        <v/>
      </c>
      <c r="S94" s="12" t="str">
        <f aca="false">IF(C94="","",N(M94)*پارامترها!$B$6+N(N94)*پارامترها!$B$7+N(O94)*پارامترها!$B$8)</f>
        <v/>
      </c>
      <c r="T94" s="12" t="str">
        <f aca="false">IF(C94="","",N(R94)+N(S94))</f>
        <v/>
      </c>
      <c r="U94" s="10" t="str">
        <f aca="false">IF(C94="","",IF(P94&lt;&gt;"بله","ثبت نشده در HIS",IF(N(L94)&gt;0,"ثبت‌شده؛ مازاد بر سقف","ثبت‌شده")))</f>
        <v/>
      </c>
      <c r="V94" s="11"/>
    </row>
    <row r="95" customFormat="false" ht="15" hidden="false" customHeight="false" outlineLevel="0" collapsed="false">
      <c r="A95" s="10" t="str">
        <f aca="false">IF(C95="","",ROW()-3)</f>
        <v/>
      </c>
      <c r="B95" s="11"/>
      <c r="C95" s="11"/>
      <c r="D95" s="11"/>
      <c r="E95" s="11"/>
      <c r="F95" s="11"/>
      <c r="G95" s="11"/>
      <c r="H95" s="11"/>
      <c r="I95" s="11"/>
      <c r="J95" s="10" t="str">
        <f aca="false">IF(C95="","",N(H95)+N(I95))</f>
        <v/>
      </c>
      <c r="K95" s="10" t="str">
        <f aca="false">IF(C95="","",MIN(J95,پارامترها!$B$3))</f>
        <v/>
      </c>
      <c r="L95" s="10" t="str">
        <f aca="false">IF(C95="","",MAX(0,J95-پارامترها!$B$3))</f>
        <v/>
      </c>
      <c r="M95" s="11"/>
      <c r="N95" s="11"/>
      <c r="O95" s="11"/>
      <c r="P95" s="11"/>
      <c r="Q95" s="11"/>
      <c r="R95" s="12" t="str">
        <f aca="false">IF(OR(C95="",N(J95)=0),"",K95*2*(N(H95)*پارامترها!$B$4+N(I95)*پارامترها!$B$5)/J95)</f>
        <v/>
      </c>
      <c r="S95" s="12" t="str">
        <f aca="false">IF(C95="","",N(M95)*پارامترها!$B$6+N(N95)*پارامترها!$B$7+N(O95)*پارامترها!$B$8)</f>
        <v/>
      </c>
      <c r="T95" s="12" t="str">
        <f aca="false">IF(C95="","",N(R95)+N(S95))</f>
        <v/>
      </c>
      <c r="U95" s="10" t="str">
        <f aca="false">IF(C95="","",IF(P95&lt;&gt;"بله","ثبت نشده در HIS",IF(N(L95)&gt;0,"ثبت‌شده؛ مازاد بر سقف","ثبت‌شده")))</f>
        <v/>
      </c>
      <c r="V95" s="11"/>
    </row>
    <row r="96" customFormat="false" ht="15" hidden="false" customHeight="false" outlineLevel="0" collapsed="false">
      <c r="A96" s="10" t="str">
        <f aca="false">IF(C96="","",ROW()-3)</f>
        <v/>
      </c>
      <c r="B96" s="11"/>
      <c r="C96" s="11"/>
      <c r="D96" s="11"/>
      <c r="E96" s="11"/>
      <c r="F96" s="11"/>
      <c r="G96" s="11"/>
      <c r="H96" s="11"/>
      <c r="I96" s="11"/>
      <c r="J96" s="10" t="str">
        <f aca="false">IF(C96="","",N(H96)+N(I96))</f>
        <v/>
      </c>
      <c r="K96" s="10" t="str">
        <f aca="false">IF(C96="","",MIN(J96,پارامترها!$B$3))</f>
        <v/>
      </c>
      <c r="L96" s="10" t="str">
        <f aca="false">IF(C96="","",MAX(0,J96-پارامترها!$B$3))</f>
        <v/>
      </c>
      <c r="M96" s="11"/>
      <c r="N96" s="11"/>
      <c r="O96" s="11"/>
      <c r="P96" s="11"/>
      <c r="Q96" s="11"/>
      <c r="R96" s="12" t="str">
        <f aca="false">IF(OR(C96="",N(J96)=0),"",K96*2*(N(H96)*پارامترها!$B$4+N(I96)*پارامترها!$B$5)/J96)</f>
        <v/>
      </c>
      <c r="S96" s="12" t="str">
        <f aca="false">IF(C96="","",N(M96)*پارامترها!$B$6+N(N96)*پارامترها!$B$7+N(O96)*پارامترها!$B$8)</f>
        <v/>
      </c>
      <c r="T96" s="12" t="str">
        <f aca="false">IF(C96="","",N(R96)+N(S96))</f>
        <v/>
      </c>
      <c r="U96" s="10" t="str">
        <f aca="false">IF(C96="","",IF(P96&lt;&gt;"بله","ثبت نشده در HIS",IF(N(L96)&gt;0,"ثبت‌شده؛ مازاد بر سقف","ثبت‌شده")))</f>
        <v/>
      </c>
      <c r="V96" s="11"/>
    </row>
    <row r="97" customFormat="false" ht="15" hidden="false" customHeight="false" outlineLevel="0" collapsed="false">
      <c r="A97" s="10" t="str">
        <f aca="false">IF(C97="","",ROW()-3)</f>
        <v/>
      </c>
      <c r="B97" s="11"/>
      <c r="C97" s="11"/>
      <c r="D97" s="11"/>
      <c r="E97" s="11"/>
      <c r="F97" s="11"/>
      <c r="G97" s="11"/>
      <c r="H97" s="11"/>
      <c r="I97" s="11"/>
      <c r="J97" s="10" t="str">
        <f aca="false">IF(C97="","",N(H97)+N(I97))</f>
        <v/>
      </c>
      <c r="K97" s="10" t="str">
        <f aca="false">IF(C97="","",MIN(J97,پارامترها!$B$3))</f>
        <v/>
      </c>
      <c r="L97" s="10" t="str">
        <f aca="false">IF(C97="","",MAX(0,J97-پارامترها!$B$3))</f>
        <v/>
      </c>
      <c r="M97" s="11"/>
      <c r="N97" s="11"/>
      <c r="O97" s="11"/>
      <c r="P97" s="11"/>
      <c r="Q97" s="11"/>
      <c r="R97" s="12" t="str">
        <f aca="false">IF(OR(C97="",N(J97)=0),"",K97*2*(N(H97)*پارامترها!$B$4+N(I97)*پارامترها!$B$5)/J97)</f>
        <v/>
      </c>
      <c r="S97" s="12" t="str">
        <f aca="false">IF(C97="","",N(M97)*پارامترها!$B$6+N(N97)*پارامترها!$B$7+N(O97)*پارامترها!$B$8)</f>
        <v/>
      </c>
      <c r="T97" s="12" t="str">
        <f aca="false">IF(C97="","",N(R97)+N(S97))</f>
        <v/>
      </c>
      <c r="U97" s="10" t="str">
        <f aca="false">IF(C97="","",IF(P97&lt;&gt;"بله","ثبت نشده در HIS",IF(N(L97)&gt;0,"ثبت‌شده؛ مازاد بر سقف","ثبت‌شده")))</f>
        <v/>
      </c>
      <c r="V97" s="11"/>
    </row>
    <row r="98" customFormat="false" ht="15" hidden="false" customHeight="false" outlineLevel="0" collapsed="false">
      <c r="A98" s="10" t="str">
        <f aca="false">IF(C98="","",ROW()-3)</f>
        <v/>
      </c>
      <c r="B98" s="11"/>
      <c r="C98" s="11"/>
      <c r="D98" s="11"/>
      <c r="E98" s="11"/>
      <c r="F98" s="11"/>
      <c r="G98" s="11"/>
      <c r="H98" s="11"/>
      <c r="I98" s="11"/>
      <c r="J98" s="10" t="str">
        <f aca="false">IF(C98="","",N(H98)+N(I98))</f>
        <v/>
      </c>
      <c r="K98" s="10" t="str">
        <f aca="false">IF(C98="","",MIN(J98,پارامترها!$B$3))</f>
        <v/>
      </c>
      <c r="L98" s="10" t="str">
        <f aca="false">IF(C98="","",MAX(0,J98-پارامترها!$B$3))</f>
        <v/>
      </c>
      <c r="M98" s="11"/>
      <c r="N98" s="11"/>
      <c r="O98" s="11"/>
      <c r="P98" s="11"/>
      <c r="Q98" s="11"/>
      <c r="R98" s="12" t="str">
        <f aca="false">IF(OR(C98="",N(J98)=0),"",K98*2*(N(H98)*پارامترها!$B$4+N(I98)*پارامترها!$B$5)/J98)</f>
        <v/>
      </c>
      <c r="S98" s="12" t="str">
        <f aca="false">IF(C98="","",N(M98)*پارامترها!$B$6+N(N98)*پارامترها!$B$7+N(O98)*پارامترها!$B$8)</f>
        <v/>
      </c>
      <c r="T98" s="12" t="str">
        <f aca="false">IF(C98="","",N(R98)+N(S98))</f>
        <v/>
      </c>
      <c r="U98" s="10" t="str">
        <f aca="false">IF(C98="","",IF(P98&lt;&gt;"بله","ثبت نشده در HIS",IF(N(L98)&gt;0,"ثبت‌شده؛ مازاد بر سقف","ثبت‌شده")))</f>
        <v/>
      </c>
      <c r="V98" s="11"/>
    </row>
    <row r="99" customFormat="false" ht="15" hidden="false" customHeight="false" outlineLevel="0" collapsed="false">
      <c r="A99" s="10" t="str">
        <f aca="false">IF(C99="","",ROW()-3)</f>
        <v/>
      </c>
      <c r="B99" s="11"/>
      <c r="C99" s="11"/>
      <c r="D99" s="11"/>
      <c r="E99" s="11"/>
      <c r="F99" s="11"/>
      <c r="G99" s="11"/>
      <c r="H99" s="11"/>
      <c r="I99" s="11"/>
      <c r="J99" s="10" t="str">
        <f aca="false">IF(C99="","",N(H99)+N(I99))</f>
        <v/>
      </c>
      <c r="K99" s="10" t="str">
        <f aca="false">IF(C99="","",MIN(J99,پارامترها!$B$3))</f>
        <v/>
      </c>
      <c r="L99" s="10" t="str">
        <f aca="false">IF(C99="","",MAX(0,J99-پارامترها!$B$3))</f>
        <v/>
      </c>
      <c r="M99" s="11"/>
      <c r="N99" s="11"/>
      <c r="O99" s="11"/>
      <c r="P99" s="11"/>
      <c r="Q99" s="11"/>
      <c r="R99" s="12" t="str">
        <f aca="false">IF(OR(C99="",N(J99)=0),"",K99*2*(N(H99)*پارامترها!$B$4+N(I99)*پارامترها!$B$5)/J99)</f>
        <v/>
      </c>
      <c r="S99" s="12" t="str">
        <f aca="false">IF(C99="","",N(M99)*پارامترها!$B$6+N(N99)*پارامترها!$B$7+N(O99)*پارامترها!$B$8)</f>
        <v/>
      </c>
      <c r="T99" s="12" t="str">
        <f aca="false">IF(C99="","",N(R99)+N(S99))</f>
        <v/>
      </c>
      <c r="U99" s="10" t="str">
        <f aca="false">IF(C99="","",IF(P99&lt;&gt;"بله","ثبت نشده در HIS",IF(N(L99)&gt;0,"ثبت‌شده؛ مازاد بر سقف","ثبت‌شده")))</f>
        <v/>
      </c>
      <c r="V99" s="11"/>
    </row>
    <row r="100" customFormat="false" ht="15" hidden="false" customHeight="false" outlineLevel="0" collapsed="false">
      <c r="A100" s="10" t="str">
        <f aca="false">IF(C100="","",ROW()-3)</f>
        <v/>
      </c>
      <c r="B100" s="11"/>
      <c r="C100" s="11"/>
      <c r="D100" s="11"/>
      <c r="E100" s="11"/>
      <c r="F100" s="11"/>
      <c r="G100" s="11"/>
      <c r="H100" s="11"/>
      <c r="I100" s="11"/>
      <c r="J100" s="10" t="str">
        <f aca="false">IF(C100="","",N(H100)+N(I100))</f>
        <v/>
      </c>
      <c r="K100" s="10" t="str">
        <f aca="false">IF(C100="","",MIN(J100,پارامترها!$B$3))</f>
        <v/>
      </c>
      <c r="L100" s="10" t="str">
        <f aca="false">IF(C100="","",MAX(0,J100-پارامترها!$B$3))</f>
        <v/>
      </c>
      <c r="M100" s="11"/>
      <c r="N100" s="11"/>
      <c r="O100" s="11"/>
      <c r="P100" s="11"/>
      <c r="Q100" s="11"/>
      <c r="R100" s="12" t="str">
        <f aca="false">IF(OR(C100="",N(J100)=0),"",K100*2*(N(H100)*پارامترها!$B$4+N(I100)*پارامترها!$B$5)/J100)</f>
        <v/>
      </c>
      <c r="S100" s="12" t="str">
        <f aca="false">IF(C100="","",N(M100)*پارامترها!$B$6+N(N100)*پارامترها!$B$7+N(O100)*پارامترها!$B$8)</f>
        <v/>
      </c>
      <c r="T100" s="12" t="str">
        <f aca="false">IF(C100="","",N(R100)+N(S100))</f>
        <v/>
      </c>
      <c r="U100" s="10" t="str">
        <f aca="false">IF(C100="","",IF(P100&lt;&gt;"بله","ثبت نشده در HIS",IF(N(L100)&gt;0,"ثبت‌شده؛ مازاد بر سقف","ثبت‌شده")))</f>
        <v/>
      </c>
      <c r="V100" s="11"/>
    </row>
    <row r="101" customFormat="false" ht="15" hidden="false" customHeight="false" outlineLevel="0" collapsed="false">
      <c r="A101" s="10" t="str">
        <f aca="false">IF(C101="","",ROW()-3)</f>
        <v/>
      </c>
      <c r="B101" s="11"/>
      <c r="C101" s="11"/>
      <c r="D101" s="11"/>
      <c r="E101" s="11"/>
      <c r="F101" s="11"/>
      <c r="G101" s="11"/>
      <c r="H101" s="11"/>
      <c r="I101" s="11"/>
      <c r="J101" s="10" t="str">
        <f aca="false">IF(C101="","",N(H101)+N(I101))</f>
        <v/>
      </c>
      <c r="K101" s="10" t="str">
        <f aca="false">IF(C101="","",MIN(J101,پارامترها!$B$3))</f>
        <v/>
      </c>
      <c r="L101" s="10" t="str">
        <f aca="false">IF(C101="","",MAX(0,J101-پارامترها!$B$3))</f>
        <v/>
      </c>
      <c r="M101" s="11"/>
      <c r="N101" s="11"/>
      <c r="O101" s="11"/>
      <c r="P101" s="11"/>
      <c r="Q101" s="11"/>
      <c r="R101" s="12" t="str">
        <f aca="false">IF(OR(C101="",N(J101)=0),"",K101*2*(N(H101)*پارامترها!$B$4+N(I101)*پارامترها!$B$5)/J101)</f>
        <v/>
      </c>
      <c r="S101" s="12" t="str">
        <f aca="false">IF(C101="","",N(M101)*پارامترها!$B$6+N(N101)*پارامترها!$B$7+N(O101)*پارامترها!$B$8)</f>
        <v/>
      </c>
      <c r="T101" s="12" t="str">
        <f aca="false">IF(C101="","",N(R101)+N(S101))</f>
        <v/>
      </c>
      <c r="U101" s="10" t="str">
        <f aca="false">IF(C101="","",IF(P101&lt;&gt;"بله","ثبت نشده در HIS",IF(N(L101)&gt;0,"ثبت‌شده؛ مازاد بر سقف","ثبت‌شده")))</f>
        <v/>
      </c>
      <c r="V101" s="11"/>
    </row>
    <row r="102" customFormat="false" ht="15" hidden="false" customHeight="false" outlineLevel="0" collapsed="false">
      <c r="A102" s="10" t="str">
        <f aca="false">IF(C102="","",ROW()-3)</f>
        <v/>
      </c>
      <c r="B102" s="11"/>
      <c r="C102" s="11"/>
      <c r="D102" s="11"/>
      <c r="E102" s="11"/>
      <c r="F102" s="11"/>
      <c r="G102" s="11"/>
      <c r="H102" s="11"/>
      <c r="I102" s="11"/>
      <c r="J102" s="10" t="str">
        <f aca="false">IF(C102="","",N(H102)+N(I102))</f>
        <v/>
      </c>
      <c r="K102" s="10" t="str">
        <f aca="false">IF(C102="","",MIN(J102,پارامترها!$B$3))</f>
        <v/>
      </c>
      <c r="L102" s="10" t="str">
        <f aca="false">IF(C102="","",MAX(0,J102-پارامترها!$B$3))</f>
        <v/>
      </c>
      <c r="M102" s="11"/>
      <c r="N102" s="11"/>
      <c r="O102" s="11"/>
      <c r="P102" s="11"/>
      <c r="Q102" s="11"/>
      <c r="R102" s="12" t="str">
        <f aca="false">IF(OR(C102="",N(J102)=0),"",K102*2*(N(H102)*پارامترها!$B$4+N(I102)*پارامترها!$B$5)/J102)</f>
        <v/>
      </c>
      <c r="S102" s="12" t="str">
        <f aca="false">IF(C102="","",N(M102)*پارامترها!$B$6+N(N102)*پارامترها!$B$7+N(O102)*پارامترها!$B$8)</f>
        <v/>
      </c>
      <c r="T102" s="12" t="str">
        <f aca="false">IF(C102="","",N(R102)+N(S102))</f>
        <v/>
      </c>
      <c r="U102" s="10" t="str">
        <f aca="false">IF(C102="","",IF(P102&lt;&gt;"بله","ثبت نشده در HIS",IF(N(L102)&gt;0,"ثبت‌شده؛ مازاد بر سقف","ثبت‌شده")))</f>
        <v/>
      </c>
      <c r="V102" s="11"/>
    </row>
    <row r="103" customFormat="false" ht="15" hidden="false" customHeight="false" outlineLevel="0" collapsed="false">
      <c r="A103" s="10" t="str">
        <f aca="false">IF(C103="","",ROW()-3)</f>
        <v/>
      </c>
      <c r="B103" s="11"/>
      <c r="C103" s="11"/>
      <c r="D103" s="11"/>
      <c r="E103" s="11"/>
      <c r="F103" s="11"/>
      <c r="G103" s="11"/>
      <c r="H103" s="11"/>
      <c r="I103" s="11"/>
      <c r="J103" s="10" t="str">
        <f aca="false">IF(C103="","",N(H103)+N(I103))</f>
        <v/>
      </c>
      <c r="K103" s="10" t="str">
        <f aca="false">IF(C103="","",MIN(J103,پارامترها!$B$3))</f>
        <v/>
      </c>
      <c r="L103" s="10" t="str">
        <f aca="false">IF(C103="","",MAX(0,J103-پارامترها!$B$3))</f>
        <v/>
      </c>
      <c r="M103" s="11"/>
      <c r="N103" s="11"/>
      <c r="O103" s="11"/>
      <c r="P103" s="11"/>
      <c r="Q103" s="11"/>
      <c r="R103" s="12" t="str">
        <f aca="false">IF(OR(C103="",N(J103)=0),"",K103*2*(N(H103)*پارامترها!$B$4+N(I103)*پارامترها!$B$5)/J103)</f>
        <v/>
      </c>
      <c r="S103" s="12" t="str">
        <f aca="false">IF(C103="","",N(M103)*پارامترها!$B$6+N(N103)*پارامترها!$B$7+N(O103)*پارامترها!$B$8)</f>
        <v/>
      </c>
      <c r="T103" s="12" t="str">
        <f aca="false">IF(C103="","",N(R103)+N(S103))</f>
        <v/>
      </c>
      <c r="U103" s="10" t="str">
        <f aca="false">IF(C103="","",IF(P103&lt;&gt;"بله","ثبت نشده در HIS",IF(N(L103)&gt;0,"ثبت‌شده؛ مازاد بر سقف","ثبت‌شده")))</f>
        <v/>
      </c>
      <c r="V103" s="11"/>
    </row>
    <row r="104" customFormat="false" ht="15" hidden="false" customHeight="false" outlineLevel="0" collapsed="false">
      <c r="A104" s="10" t="str">
        <f aca="false">IF(C104="","",ROW()-3)</f>
        <v/>
      </c>
      <c r="B104" s="11"/>
      <c r="C104" s="11"/>
      <c r="D104" s="11"/>
      <c r="E104" s="11"/>
      <c r="F104" s="11"/>
      <c r="G104" s="11"/>
      <c r="H104" s="11"/>
      <c r="I104" s="11"/>
      <c r="J104" s="10" t="str">
        <f aca="false">IF(C104="","",N(H104)+N(I104))</f>
        <v/>
      </c>
      <c r="K104" s="10" t="str">
        <f aca="false">IF(C104="","",MIN(J104,پارامترها!$B$3))</f>
        <v/>
      </c>
      <c r="L104" s="10" t="str">
        <f aca="false">IF(C104="","",MAX(0,J104-پارامترها!$B$3))</f>
        <v/>
      </c>
      <c r="M104" s="11"/>
      <c r="N104" s="11"/>
      <c r="O104" s="11"/>
      <c r="P104" s="11"/>
      <c r="Q104" s="11"/>
      <c r="R104" s="12" t="str">
        <f aca="false">IF(OR(C104="",N(J104)=0),"",K104*2*(N(H104)*پارامترها!$B$4+N(I104)*پارامترها!$B$5)/J104)</f>
        <v/>
      </c>
      <c r="S104" s="12" t="str">
        <f aca="false">IF(C104="","",N(M104)*پارامترها!$B$6+N(N104)*پارامترها!$B$7+N(O104)*پارامترها!$B$8)</f>
        <v/>
      </c>
      <c r="T104" s="12" t="str">
        <f aca="false">IF(C104="","",N(R104)+N(S104))</f>
        <v/>
      </c>
      <c r="U104" s="10" t="str">
        <f aca="false">IF(C104="","",IF(P104&lt;&gt;"بله","ثبت نشده در HIS",IF(N(L104)&gt;0,"ثبت‌شده؛ مازاد بر سقف","ثبت‌شده")))</f>
        <v/>
      </c>
      <c r="V104" s="11"/>
    </row>
    <row r="105" customFormat="false" ht="15" hidden="false" customHeight="false" outlineLevel="0" collapsed="false">
      <c r="A105" s="10" t="str">
        <f aca="false">IF(C105="","",ROW()-3)</f>
        <v/>
      </c>
      <c r="B105" s="11"/>
      <c r="C105" s="11"/>
      <c r="D105" s="11"/>
      <c r="E105" s="11"/>
      <c r="F105" s="11"/>
      <c r="G105" s="11"/>
      <c r="H105" s="11"/>
      <c r="I105" s="11"/>
      <c r="J105" s="10" t="str">
        <f aca="false">IF(C105="","",N(H105)+N(I105))</f>
        <v/>
      </c>
      <c r="K105" s="10" t="str">
        <f aca="false">IF(C105="","",MIN(J105,پارامترها!$B$3))</f>
        <v/>
      </c>
      <c r="L105" s="10" t="str">
        <f aca="false">IF(C105="","",MAX(0,J105-پارامترها!$B$3))</f>
        <v/>
      </c>
      <c r="M105" s="11"/>
      <c r="N105" s="11"/>
      <c r="O105" s="11"/>
      <c r="P105" s="11"/>
      <c r="Q105" s="11"/>
      <c r="R105" s="12" t="str">
        <f aca="false">IF(OR(C105="",N(J105)=0),"",K105*2*(N(H105)*پارامترها!$B$4+N(I105)*پارامترها!$B$5)/J105)</f>
        <v/>
      </c>
      <c r="S105" s="12" t="str">
        <f aca="false">IF(C105="","",N(M105)*پارامترها!$B$6+N(N105)*پارامترها!$B$7+N(O105)*پارامترها!$B$8)</f>
        <v/>
      </c>
      <c r="T105" s="12" t="str">
        <f aca="false">IF(C105="","",N(R105)+N(S105))</f>
        <v/>
      </c>
      <c r="U105" s="10" t="str">
        <f aca="false">IF(C105="","",IF(P105&lt;&gt;"بله","ثبت نشده در HIS",IF(N(L105)&gt;0,"ثبت‌شده؛ مازاد بر سقف","ثبت‌شده")))</f>
        <v/>
      </c>
      <c r="V105" s="11"/>
    </row>
    <row r="106" customFormat="false" ht="15" hidden="false" customHeight="false" outlineLevel="0" collapsed="false">
      <c r="A106" s="10" t="str">
        <f aca="false">IF(C106="","",ROW()-3)</f>
        <v/>
      </c>
      <c r="B106" s="11"/>
      <c r="C106" s="11"/>
      <c r="D106" s="11"/>
      <c r="E106" s="11"/>
      <c r="F106" s="11"/>
      <c r="G106" s="11"/>
      <c r="H106" s="11"/>
      <c r="I106" s="11"/>
      <c r="J106" s="10" t="str">
        <f aca="false">IF(C106="","",N(H106)+N(I106))</f>
        <v/>
      </c>
      <c r="K106" s="10" t="str">
        <f aca="false">IF(C106="","",MIN(J106,پارامترها!$B$3))</f>
        <v/>
      </c>
      <c r="L106" s="10" t="str">
        <f aca="false">IF(C106="","",MAX(0,J106-پارامترها!$B$3))</f>
        <v/>
      </c>
      <c r="M106" s="11"/>
      <c r="N106" s="11"/>
      <c r="O106" s="11"/>
      <c r="P106" s="11"/>
      <c r="Q106" s="11"/>
      <c r="R106" s="12" t="str">
        <f aca="false">IF(OR(C106="",N(J106)=0),"",K106*2*(N(H106)*پارامترها!$B$4+N(I106)*پارامترها!$B$5)/J106)</f>
        <v/>
      </c>
      <c r="S106" s="12" t="str">
        <f aca="false">IF(C106="","",N(M106)*پارامترها!$B$6+N(N106)*پارامترها!$B$7+N(O106)*پارامترها!$B$8)</f>
        <v/>
      </c>
      <c r="T106" s="12" t="str">
        <f aca="false">IF(C106="","",N(R106)+N(S106))</f>
        <v/>
      </c>
      <c r="U106" s="10" t="str">
        <f aca="false">IF(C106="","",IF(P106&lt;&gt;"بله","ثبت نشده در HIS",IF(N(L106)&gt;0,"ثبت‌شده؛ مازاد بر سقف","ثبت‌شده")))</f>
        <v/>
      </c>
      <c r="V106" s="11"/>
    </row>
    <row r="107" customFormat="false" ht="15" hidden="false" customHeight="false" outlineLevel="0" collapsed="false">
      <c r="A107" s="10" t="str">
        <f aca="false">IF(C107="","",ROW()-3)</f>
        <v/>
      </c>
      <c r="B107" s="11"/>
      <c r="C107" s="11"/>
      <c r="D107" s="11"/>
      <c r="E107" s="11"/>
      <c r="F107" s="11"/>
      <c r="G107" s="11"/>
      <c r="H107" s="11"/>
      <c r="I107" s="11"/>
      <c r="J107" s="10" t="str">
        <f aca="false">IF(C107="","",N(H107)+N(I107))</f>
        <v/>
      </c>
      <c r="K107" s="10" t="str">
        <f aca="false">IF(C107="","",MIN(J107,پارامترها!$B$3))</f>
        <v/>
      </c>
      <c r="L107" s="10" t="str">
        <f aca="false">IF(C107="","",MAX(0,J107-پارامترها!$B$3))</f>
        <v/>
      </c>
      <c r="M107" s="11"/>
      <c r="N107" s="11"/>
      <c r="O107" s="11"/>
      <c r="P107" s="11"/>
      <c r="Q107" s="11"/>
      <c r="R107" s="12" t="str">
        <f aca="false">IF(OR(C107="",N(J107)=0),"",K107*2*(N(H107)*پارامترها!$B$4+N(I107)*پارامترها!$B$5)/J107)</f>
        <v/>
      </c>
      <c r="S107" s="12" t="str">
        <f aca="false">IF(C107="","",N(M107)*پارامترها!$B$6+N(N107)*پارامترها!$B$7+N(O107)*پارامترها!$B$8)</f>
        <v/>
      </c>
      <c r="T107" s="12" t="str">
        <f aca="false">IF(C107="","",N(R107)+N(S107))</f>
        <v/>
      </c>
      <c r="U107" s="10" t="str">
        <f aca="false">IF(C107="","",IF(P107&lt;&gt;"بله","ثبت نشده در HIS",IF(N(L107)&gt;0,"ثبت‌شده؛ مازاد بر سقف","ثبت‌شده")))</f>
        <v/>
      </c>
      <c r="V107" s="11"/>
    </row>
    <row r="108" customFormat="false" ht="15" hidden="false" customHeight="false" outlineLevel="0" collapsed="false">
      <c r="A108" s="10" t="str">
        <f aca="false">IF(C108="","",ROW()-3)</f>
        <v/>
      </c>
      <c r="B108" s="11"/>
      <c r="C108" s="11"/>
      <c r="D108" s="11"/>
      <c r="E108" s="11"/>
      <c r="F108" s="11"/>
      <c r="G108" s="11"/>
      <c r="H108" s="11"/>
      <c r="I108" s="11"/>
      <c r="J108" s="10" t="str">
        <f aca="false">IF(C108="","",N(H108)+N(I108))</f>
        <v/>
      </c>
      <c r="K108" s="10" t="str">
        <f aca="false">IF(C108="","",MIN(J108,پارامترها!$B$3))</f>
        <v/>
      </c>
      <c r="L108" s="10" t="str">
        <f aca="false">IF(C108="","",MAX(0,J108-پارامترها!$B$3))</f>
        <v/>
      </c>
      <c r="M108" s="11"/>
      <c r="N108" s="11"/>
      <c r="O108" s="11"/>
      <c r="P108" s="11"/>
      <c r="Q108" s="11"/>
      <c r="R108" s="12" t="str">
        <f aca="false">IF(OR(C108="",N(J108)=0),"",K108*2*(N(H108)*پارامترها!$B$4+N(I108)*پارامترها!$B$5)/J108)</f>
        <v/>
      </c>
      <c r="S108" s="12" t="str">
        <f aca="false">IF(C108="","",N(M108)*پارامترها!$B$6+N(N108)*پارامترها!$B$7+N(O108)*پارامترها!$B$8)</f>
        <v/>
      </c>
      <c r="T108" s="12" t="str">
        <f aca="false">IF(C108="","",N(R108)+N(S108))</f>
        <v/>
      </c>
      <c r="U108" s="10" t="str">
        <f aca="false">IF(C108="","",IF(P108&lt;&gt;"بله","ثبت نشده در HIS",IF(N(L108)&gt;0,"ثبت‌شده؛ مازاد بر سقف","ثبت‌شده")))</f>
        <v/>
      </c>
      <c r="V108" s="11"/>
    </row>
    <row r="109" customFormat="false" ht="15" hidden="false" customHeight="false" outlineLevel="0" collapsed="false">
      <c r="A109" s="10" t="str">
        <f aca="false">IF(C109="","",ROW()-3)</f>
        <v/>
      </c>
      <c r="B109" s="11"/>
      <c r="C109" s="11"/>
      <c r="D109" s="11"/>
      <c r="E109" s="11"/>
      <c r="F109" s="11"/>
      <c r="G109" s="11"/>
      <c r="H109" s="11"/>
      <c r="I109" s="11"/>
      <c r="J109" s="10" t="str">
        <f aca="false">IF(C109="","",N(H109)+N(I109))</f>
        <v/>
      </c>
      <c r="K109" s="10" t="str">
        <f aca="false">IF(C109="","",MIN(J109,پارامترها!$B$3))</f>
        <v/>
      </c>
      <c r="L109" s="10" t="str">
        <f aca="false">IF(C109="","",MAX(0,J109-پارامترها!$B$3))</f>
        <v/>
      </c>
      <c r="M109" s="11"/>
      <c r="N109" s="11"/>
      <c r="O109" s="11"/>
      <c r="P109" s="11"/>
      <c r="Q109" s="11"/>
      <c r="R109" s="12" t="str">
        <f aca="false">IF(OR(C109="",N(J109)=0),"",K109*2*(N(H109)*پارامترها!$B$4+N(I109)*پارامترها!$B$5)/J109)</f>
        <v/>
      </c>
      <c r="S109" s="12" t="str">
        <f aca="false">IF(C109="","",N(M109)*پارامترها!$B$6+N(N109)*پارامترها!$B$7+N(O109)*پارامترها!$B$8)</f>
        <v/>
      </c>
      <c r="T109" s="12" t="str">
        <f aca="false">IF(C109="","",N(R109)+N(S109))</f>
        <v/>
      </c>
      <c r="U109" s="10" t="str">
        <f aca="false">IF(C109="","",IF(P109&lt;&gt;"بله","ثبت نشده در HIS",IF(N(L109)&gt;0,"ثبت‌شده؛ مازاد بر سقف","ثبت‌شده")))</f>
        <v/>
      </c>
      <c r="V109" s="11"/>
    </row>
    <row r="110" customFormat="false" ht="15" hidden="false" customHeight="false" outlineLevel="0" collapsed="false">
      <c r="A110" s="10" t="str">
        <f aca="false">IF(C110="","",ROW()-3)</f>
        <v/>
      </c>
      <c r="B110" s="11"/>
      <c r="C110" s="11"/>
      <c r="D110" s="11"/>
      <c r="E110" s="11"/>
      <c r="F110" s="11"/>
      <c r="G110" s="11"/>
      <c r="H110" s="11"/>
      <c r="I110" s="11"/>
      <c r="J110" s="10" t="str">
        <f aca="false">IF(C110="","",N(H110)+N(I110))</f>
        <v/>
      </c>
      <c r="K110" s="10" t="str">
        <f aca="false">IF(C110="","",MIN(J110,پارامترها!$B$3))</f>
        <v/>
      </c>
      <c r="L110" s="10" t="str">
        <f aca="false">IF(C110="","",MAX(0,J110-پارامترها!$B$3))</f>
        <v/>
      </c>
      <c r="M110" s="11"/>
      <c r="N110" s="11"/>
      <c r="O110" s="11"/>
      <c r="P110" s="11"/>
      <c r="Q110" s="11"/>
      <c r="R110" s="12" t="str">
        <f aca="false">IF(OR(C110="",N(J110)=0),"",K110*2*(N(H110)*پارامترها!$B$4+N(I110)*پارامترها!$B$5)/J110)</f>
        <v/>
      </c>
      <c r="S110" s="12" t="str">
        <f aca="false">IF(C110="","",N(M110)*پارامترها!$B$6+N(N110)*پارامترها!$B$7+N(O110)*پارامترها!$B$8)</f>
        <v/>
      </c>
      <c r="T110" s="12" t="str">
        <f aca="false">IF(C110="","",N(R110)+N(S110))</f>
        <v/>
      </c>
      <c r="U110" s="10" t="str">
        <f aca="false">IF(C110="","",IF(P110&lt;&gt;"بله","ثبت نشده در HIS",IF(N(L110)&gt;0,"ثبت‌شده؛ مازاد بر سقف","ثبت‌شده")))</f>
        <v/>
      </c>
      <c r="V110" s="11"/>
    </row>
    <row r="111" customFormat="false" ht="15" hidden="false" customHeight="false" outlineLevel="0" collapsed="false">
      <c r="A111" s="10" t="str">
        <f aca="false">IF(C111="","",ROW()-3)</f>
        <v/>
      </c>
      <c r="B111" s="11"/>
      <c r="C111" s="11"/>
      <c r="D111" s="11"/>
      <c r="E111" s="11"/>
      <c r="F111" s="11"/>
      <c r="G111" s="11"/>
      <c r="H111" s="11"/>
      <c r="I111" s="11"/>
      <c r="J111" s="10" t="str">
        <f aca="false">IF(C111="","",N(H111)+N(I111))</f>
        <v/>
      </c>
      <c r="K111" s="10" t="str">
        <f aca="false">IF(C111="","",MIN(J111,پارامترها!$B$3))</f>
        <v/>
      </c>
      <c r="L111" s="10" t="str">
        <f aca="false">IF(C111="","",MAX(0,J111-پارامترها!$B$3))</f>
        <v/>
      </c>
      <c r="M111" s="11"/>
      <c r="N111" s="11"/>
      <c r="O111" s="11"/>
      <c r="P111" s="11"/>
      <c r="Q111" s="11"/>
      <c r="R111" s="12" t="str">
        <f aca="false">IF(OR(C111="",N(J111)=0),"",K111*2*(N(H111)*پارامترها!$B$4+N(I111)*پارامترها!$B$5)/J111)</f>
        <v/>
      </c>
      <c r="S111" s="12" t="str">
        <f aca="false">IF(C111="","",N(M111)*پارامترها!$B$6+N(N111)*پارامترها!$B$7+N(O111)*پارامترها!$B$8)</f>
        <v/>
      </c>
      <c r="T111" s="12" t="str">
        <f aca="false">IF(C111="","",N(R111)+N(S111))</f>
        <v/>
      </c>
      <c r="U111" s="10" t="str">
        <f aca="false">IF(C111="","",IF(P111&lt;&gt;"بله","ثبت نشده در HIS",IF(N(L111)&gt;0,"ثبت‌شده؛ مازاد بر سقف","ثبت‌شده")))</f>
        <v/>
      </c>
      <c r="V111" s="11"/>
    </row>
    <row r="112" customFormat="false" ht="15" hidden="false" customHeight="false" outlineLevel="0" collapsed="false">
      <c r="A112" s="10" t="str">
        <f aca="false">IF(C112="","",ROW()-3)</f>
        <v/>
      </c>
      <c r="B112" s="11"/>
      <c r="C112" s="11"/>
      <c r="D112" s="11"/>
      <c r="E112" s="11"/>
      <c r="F112" s="11"/>
      <c r="G112" s="11"/>
      <c r="H112" s="11"/>
      <c r="I112" s="11"/>
      <c r="J112" s="10" t="str">
        <f aca="false">IF(C112="","",N(H112)+N(I112))</f>
        <v/>
      </c>
      <c r="K112" s="10" t="str">
        <f aca="false">IF(C112="","",MIN(J112,پارامترها!$B$3))</f>
        <v/>
      </c>
      <c r="L112" s="10" t="str">
        <f aca="false">IF(C112="","",MAX(0,J112-پارامترها!$B$3))</f>
        <v/>
      </c>
      <c r="M112" s="11"/>
      <c r="N112" s="11"/>
      <c r="O112" s="11"/>
      <c r="P112" s="11"/>
      <c r="Q112" s="11"/>
      <c r="R112" s="12" t="str">
        <f aca="false">IF(OR(C112="",N(J112)=0),"",K112*2*(N(H112)*پارامترها!$B$4+N(I112)*پارامترها!$B$5)/J112)</f>
        <v/>
      </c>
      <c r="S112" s="12" t="str">
        <f aca="false">IF(C112="","",N(M112)*پارامترها!$B$6+N(N112)*پارامترها!$B$7+N(O112)*پارامترها!$B$8)</f>
        <v/>
      </c>
      <c r="T112" s="12" t="str">
        <f aca="false">IF(C112="","",N(R112)+N(S112))</f>
        <v/>
      </c>
      <c r="U112" s="10" t="str">
        <f aca="false">IF(C112="","",IF(P112&lt;&gt;"بله","ثبت نشده در HIS",IF(N(L112)&gt;0,"ثبت‌شده؛ مازاد بر سقف","ثبت‌شده")))</f>
        <v/>
      </c>
      <c r="V112" s="11"/>
    </row>
    <row r="113" customFormat="false" ht="15" hidden="false" customHeight="false" outlineLevel="0" collapsed="false">
      <c r="A113" s="10" t="str">
        <f aca="false">IF(C113="","",ROW()-3)</f>
        <v/>
      </c>
      <c r="B113" s="11"/>
      <c r="C113" s="11"/>
      <c r="D113" s="11"/>
      <c r="E113" s="11"/>
      <c r="F113" s="11"/>
      <c r="G113" s="11"/>
      <c r="H113" s="11"/>
      <c r="I113" s="11"/>
      <c r="J113" s="10" t="str">
        <f aca="false">IF(C113="","",N(H113)+N(I113))</f>
        <v/>
      </c>
      <c r="K113" s="10" t="str">
        <f aca="false">IF(C113="","",MIN(J113,پارامترها!$B$3))</f>
        <v/>
      </c>
      <c r="L113" s="10" t="str">
        <f aca="false">IF(C113="","",MAX(0,J113-پارامترها!$B$3))</f>
        <v/>
      </c>
      <c r="M113" s="11"/>
      <c r="N113" s="11"/>
      <c r="O113" s="11"/>
      <c r="P113" s="11"/>
      <c r="Q113" s="11"/>
      <c r="R113" s="12" t="str">
        <f aca="false">IF(OR(C113="",N(J113)=0),"",K113*2*(N(H113)*پارامترها!$B$4+N(I113)*پارامترها!$B$5)/J113)</f>
        <v/>
      </c>
      <c r="S113" s="12" t="str">
        <f aca="false">IF(C113="","",N(M113)*پارامترها!$B$6+N(N113)*پارامترها!$B$7+N(O113)*پارامترها!$B$8)</f>
        <v/>
      </c>
      <c r="T113" s="12" t="str">
        <f aca="false">IF(C113="","",N(R113)+N(S113))</f>
        <v/>
      </c>
      <c r="U113" s="10" t="str">
        <f aca="false">IF(C113="","",IF(P113&lt;&gt;"بله","ثبت نشده در HIS",IF(N(L113)&gt;0,"ثبت‌شده؛ مازاد بر سقف","ثبت‌شده")))</f>
        <v/>
      </c>
      <c r="V113" s="11"/>
    </row>
    <row r="114" customFormat="false" ht="15" hidden="false" customHeight="false" outlineLevel="0" collapsed="false">
      <c r="A114" s="10" t="str">
        <f aca="false">IF(C114="","",ROW()-3)</f>
        <v/>
      </c>
      <c r="B114" s="11"/>
      <c r="C114" s="11"/>
      <c r="D114" s="11"/>
      <c r="E114" s="11"/>
      <c r="F114" s="11"/>
      <c r="G114" s="11"/>
      <c r="H114" s="11"/>
      <c r="I114" s="11"/>
      <c r="J114" s="10" t="str">
        <f aca="false">IF(C114="","",N(H114)+N(I114))</f>
        <v/>
      </c>
      <c r="K114" s="10" t="str">
        <f aca="false">IF(C114="","",MIN(J114,پارامترها!$B$3))</f>
        <v/>
      </c>
      <c r="L114" s="10" t="str">
        <f aca="false">IF(C114="","",MAX(0,J114-پارامترها!$B$3))</f>
        <v/>
      </c>
      <c r="M114" s="11"/>
      <c r="N114" s="11"/>
      <c r="O114" s="11"/>
      <c r="P114" s="11"/>
      <c r="Q114" s="11"/>
      <c r="R114" s="12" t="str">
        <f aca="false">IF(OR(C114="",N(J114)=0),"",K114*2*(N(H114)*پارامترها!$B$4+N(I114)*پارامترها!$B$5)/J114)</f>
        <v/>
      </c>
      <c r="S114" s="12" t="str">
        <f aca="false">IF(C114="","",N(M114)*پارامترها!$B$6+N(N114)*پارامترها!$B$7+N(O114)*پارامترها!$B$8)</f>
        <v/>
      </c>
      <c r="T114" s="12" t="str">
        <f aca="false">IF(C114="","",N(R114)+N(S114))</f>
        <v/>
      </c>
      <c r="U114" s="10" t="str">
        <f aca="false">IF(C114="","",IF(P114&lt;&gt;"بله","ثبت نشده در HIS",IF(N(L114)&gt;0,"ثبت‌شده؛ مازاد بر سقف","ثبت‌شده")))</f>
        <v/>
      </c>
      <c r="V114" s="11"/>
    </row>
    <row r="115" customFormat="false" ht="15" hidden="false" customHeight="false" outlineLevel="0" collapsed="false">
      <c r="A115" s="10" t="str">
        <f aca="false">IF(C115="","",ROW()-3)</f>
        <v/>
      </c>
      <c r="B115" s="11"/>
      <c r="C115" s="11"/>
      <c r="D115" s="11"/>
      <c r="E115" s="11"/>
      <c r="F115" s="11"/>
      <c r="G115" s="11"/>
      <c r="H115" s="11"/>
      <c r="I115" s="11"/>
      <c r="J115" s="10" t="str">
        <f aca="false">IF(C115="","",N(H115)+N(I115))</f>
        <v/>
      </c>
      <c r="K115" s="10" t="str">
        <f aca="false">IF(C115="","",MIN(J115,پارامترها!$B$3))</f>
        <v/>
      </c>
      <c r="L115" s="10" t="str">
        <f aca="false">IF(C115="","",MAX(0,J115-پارامترها!$B$3))</f>
        <v/>
      </c>
      <c r="M115" s="11"/>
      <c r="N115" s="11"/>
      <c r="O115" s="11"/>
      <c r="P115" s="11"/>
      <c r="Q115" s="11"/>
      <c r="R115" s="12" t="str">
        <f aca="false">IF(OR(C115="",N(J115)=0),"",K115*2*(N(H115)*پارامترها!$B$4+N(I115)*پارامترها!$B$5)/J115)</f>
        <v/>
      </c>
      <c r="S115" s="12" t="str">
        <f aca="false">IF(C115="","",N(M115)*پارامترها!$B$6+N(N115)*پارامترها!$B$7+N(O115)*پارامترها!$B$8)</f>
        <v/>
      </c>
      <c r="T115" s="12" t="str">
        <f aca="false">IF(C115="","",N(R115)+N(S115))</f>
        <v/>
      </c>
      <c r="U115" s="10" t="str">
        <f aca="false">IF(C115="","",IF(P115&lt;&gt;"بله","ثبت نشده در HIS",IF(N(L115)&gt;0,"ثبت‌شده؛ مازاد بر سقف","ثبت‌شده")))</f>
        <v/>
      </c>
      <c r="V115" s="11"/>
    </row>
    <row r="116" customFormat="false" ht="15" hidden="false" customHeight="false" outlineLevel="0" collapsed="false">
      <c r="A116" s="10" t="str">
        <f aca="false">IF(C116="","",ROW()-3)</f>
        <v/>
      </c>
      <c r="B116" s="11"/>
      <c r="C116" s="11"/>
      <c r="D116" s="11"/>
      <c r="E116" s="11"/>
      <c r="F116" s="11"/>
      <c r="G116" s="11"/>
      <c r="H116" s="11"/>
      <c r="I116" s="11"/>
      <c r="J116" s="10" t="str">
        <f aca="false">IF(C116="","",N(H116)+N(I116))</f>
        <v/>
      </c>
      <c r="K116" s="10" t="str">
        <f aca="false">IF(C116="","",MIN(J116,پارامترها!$B$3))</f>
        <v/>
      </c>
      <c r="L116" s="10" t="str">
        <f aca="false">IF(C116="","",MAX(0,J116-پارامترها!$B$3))</f>
        <v/>
      </c>
      <c r="M116" s="11"/>
      <c r="N116" s="11"/>
      <c r="O116" s="11"/>
      <c r="P116" s="11"/>
      <c r="Q116" s="11"/>
      <c r="R116" s="12" t="str">
        <f aca="false">IF(OR(C116="",N(J116)=0),"",K116*2*(N(H116)*پارامترها!$B$4+N(I116)*پارامترها!$B$5)/J116)</f>
        <v/>
      </c>
      <c r="S116" s="12" t="str">
        <f aca="false">IF(C116="","",N(M116)*پارامترها!$B$6+N(N116)*پارامترها!$B$7+N(O116)*پارامترها!$B$8)</f>
        <v/>
      </c>
      <c r="T116" s="12" t="str">
        <f aca="false">IF(C116="","",N(R116)+N(S116))</f>
        <v/>
      </c>
      <c r="U116" s="10" t="str">
        <f aca="false">IF(C116="","",IF(P116&lt;&gt;"بله","ثبت نشده در HIS",IF(N(L116)&gt;0,"ثبت‌شده؛ مازاد بر سقف","ثبت‌شده")))</f>
        <v/>
      </c>
      <c r="V116" s="11"/>
    </row>
    <row r="117" customFormat="false" ht="15" hidden="false" customHeight="false" outlineLevel="0" collapsed="false">
      <c r="A117" s="10" t="str">
        <f aca="false">IF(C117="","",ROW()-3)</f>
        <v/>
      </c>
      <c r="B117" s="11"/>
      <c r="C117" s="11"/>
      <c r="D117" s="11"/>
      <c r="E117" s="11"/>
      <c r="F117" s="11"/>
      <c r="G117" s="11"/>
      <c r="H117" s="11"/>
      <c r="I117" s="11"/>
      <c r="J117" s="10" t="str">
        <f aca="false">IF(C117="","",N(H117)+N(I117))</f>
        <v/>
      </c>
      <c r="K117" s="10" t="str">
        <f aca="false">IF(C117="","",MIN(J117,پارامترها!$B$3))</f>
        <v/>
      </c>
      <c r="L117" s="10" t="str">
        <f aca="false">IF(C117="","",MAX(0,J117-پارامترها!$B$3))</f>
        <v/>
      </c>
      <c r="M117" s="11"/>
      <c r="N117" s="11"/>
      <c r="O117" s="11"/>
      <c r="P117" s="11"/>
      <c r="Q117" s="11"/>
      <c r="R117" s="12" t="str">
        <f aca="false">IF(OR(C117="",N(J117)=0),"",K117*2*(N(H117)*پارامترها!$B$4+N(I117)*پارامترها!$B$5)/J117)</f>
        <v/>
      </c>
      <c r="S117" s="12" t="str">
        <f aca="false">IF(C117="","",N(M117)*پارامترها!$B$6+N(N117)*پارامترها!$B$7+N(O117)*پارامترها!$B$8)</f>
        <v/>
      </c>
      <c r="T117" s="12" t="str">
        <f aca="false">IF(C117="","",N(R117)+N(S117))</f>
        <v/>
      </c>
      <c r="U117" s="10" t="str">
        <f aca="false">IF(C117="","",IF(P117&lt;&gt;"بله","ثبت نشده در HIS",IF(N(L117)&gt;0,"ثبت‌شده؛ مازاد بر سقف","ثبت‌شده")))</f>
        <v/>
      </c>
      <c r="V117" s="11"/>
    </row>
    <row r="118" customFormat="false" ht="15" hidden="false" customHeight="false" outlineLevel="0" collapsed="false">
      <c r="A118" s="10" t="str">
        <f aca="false">IF(C118="","",ROW()-3)</f>
        <v/>
      </c>
      <c r="B118" s="11"/>
      <c r="C118" s="11"/>
      <c r="D118" s="11"/>
      <c r="E118" s="11"/>
      <c r="F118" s="11"/>
      <c r="G118" s="11"/>
      <c r="H118" s="11"/>
      <c r="I118" s="11"/>
      <c r="J118" s="10" t="str">
        <f aca="false">IF(C118="","",N(H118)+N(I118))</f>
        <v/>
      </c>
      <c r="K118" s="10" t="str">
        <f aca="false">IF(C118="","",MIN(J118,پارامترها!$B$3))</f>
        <v/>
      </c>
      <c r="L118" s="10" t="str">
        <f aca="false">IF(C118="","",MAX(0,J118-پارامترها!$B$3))</f>
        <v/>
      </c>
      <c r="M118" s="11"/>
      <c r="N118" s="11"/>
      <c r="O118" s="11"/>
      <c r="P118" s="11"/>
      <c r="Q118" s="11"/>
      <c r="R118" s="12" t="str">
        <f aca="false">IF(OR(C118="",N(J118)=0),"",K118*2*(N(H118)*پارامترها!$B$4+N(I118)*پارامترها!$B$5)/J118)</f>
        <v/>
      </c>
      <c r="S118" s="12" t="str">
        <f aca="false">IF(C118="","",N(M118)*پارامترها!$B$6+N(N118)*پارامترها!$B$7+N(O118)*پارامترها!$B$8)</f>
        <v/>
      </c>
      <c r="T118" s="12" t="str">
        <f aca="false">IF(C118="","",N(R118)+N(S118))</f>
        <v/>
      </c>
      <c r="U118" s="10" t="str">
        <f aca="false">IF(C118="","",IF(P118&lt;&gt;"بله","ثبت نشده در HIS",IF(N(L118)&gt;0,"ثبت‌شده؛ مازاد بر سقف","ثبت‌شده")))</f>
        <v/>
      </c>
      <c r="V118" s="11"/>
    </row>
    <row r="119" customFormat="false" ht="15" hidden="false" customHeight="false" outlineLevel="0" collapsed="false">
      <c r="A119" s="10" t="str">
        <f aca="false">IF(C119="","",ROW()-3)</f>
        <v/>
      </c>
      <c r="B119" s="11"/>
      <c r="C119" s="11"/>
      <c r="D119" s="11"/>
      <c r="E119" s="11"/>
      <c r="F119" s="11"/>
      <c r="G119" s="11"/>
      <c r="H119" s="11"/>
      <c r="I119" s="11"/>
      <c r="J119" s="10" t="str">
        <f aca="false">IF(C119="","",N(H119)+N(I119))</f>
        <v/>
      </c>
      <c r="K119" s="10" t="str">
        <f aca="false">IF(C119="","",MIN(J119,پارامترها!$B$3))</f>
        <v/>
      </c>
      <c r="L119" s="10" t="str">
        <f aca="false">IF(C119="","",MAX(0,J119-پارامترها!$B$3))</f>
        <v/>
      </c>
      <c r="M119" s="11"/>
      <c r="N119" s="11"/>
      <c r="O119" s="11"/>
      <c r="P119" s="11"/>
      <c r="Q119" s="11"/>
      <c r="R119" s="12" t="str">
        <f aca="false">IF(OR(C119="",N(J119)=0),"",K119*2*(N(H119)*پارامترها!$B$4+N(I119)*پارامترها!$B$5)/J119)</f>
        <v/>
      </c>
      <c r="S119" s="12" t="str">
        <f aca="false">IF(C119="","",N(M119)*پارامترها!$B$6+N(N119)*پارامترها!$B$7+N(O119)*پارامترها!$B$8)</f>
        <v/>
      </c>
      <c r="T119" s="12" t="str">
        <f aca="false">IF(C119="","",N(R119)+N(S119))</f>
        <v/>
      </c>
      <c r="U119" s="10" t="str">
        <f aca="false">IF(C119="","",IF(P119&lt;&gt;"بله","ثبت نشده در HIS",IF(N(L119)&gt;0,"ثبت‌شده؛ مازاد بر سقف","ثبت‌شده")))</f>
        <v/>
      </c>
      <c r="V119" s="11"/>
    </row>
    <row r="120" customFormat="false" ht="15" hidden="false" customHeight="false" outlineLevel="0" collapsed="false">
      <c r="A120" s="10" t="str">
        <f aca="false">IF(C120="","",ROW()-3)</f>
        <v/>
      </c>
      <c r="B120" s="11"/>
      <c r="C120" s="11"/>
      <c r="D120" s="11"/>
      <c r="E120" s="11"/>
      <c r="F120" s="11"/>
      <c r="G120" s="11"/>
      <c r="H120" s="11"/>
      <c r="I120" s="11"/>
      <c r="J120" s="10" t="str">
        <f aca="false">IF(C120="","",N(H120)+N(I120))</f>
        <v/>
      </c>
      <c r="K120" s="10" t="str">
        <f aca="false">IF(C120="","",MIN(J120,پارامترها!$B$3))</f>
        <v/>
      </c>
      <c r="L120" s="10" t="str">
        <f aca="false">IF(C120="","",MAX(0,J120-پارامترها!$B$3))</f>
        <v/>
      </c>
      <c r="M120" s="11"/>
      <c r="N120" s="11"/>
      <c r="O120" s="11"/>
      <c r="P120" s="11"/>
      <c r="Q120" s="11"/>
      <c r="R120" s="12" t="str">
        <f aca="false">IF(OR(C120="",N(J120)=0),"",K120*2*(N(H120)*پارامترها!$B$4+N(I120)*پارامترها!$B$5)/J120)</f>
        <v/>
      </c>
      <c r="S120" s="12" t="str">
        <f aca="false">IF(C120="","",N(M120)*پارامترها!$B$6+N(N120)*پارامترها!$B$7+N(O120)*پارامترها!$B$8)</f>
        <v/>
      </c>
      <c r="T120" s="12" t="str">
        <f aca="false">IF(C120="","",N(R120)+N(S120))</f>
        <v/>
      </c>
      <c r="U120" s="10" t="str">
        <f aca="false">IF(C120="","",IF(P120&lt;&gt;"بله","ثبت نشده در HIS",IF(N(L120)&gt;0,"ثبت‌شده؛ مازاد بر سقف","ثبت‌شده")))</f>
        <v/>
      </c>
      <c r="V120" s="11"/>
    </row>
    <row r="121" customFormat="false" ht="15" hidden="false" customHeight="false" outlineLevel="0" collapsed="false">
      <c r="A121" s="10" t="str">
        <f aca="false">IF(C121="","",ROW()-3)</f>
        <v/>
      </c>
      <c r="B121" s="11"/>
      <c r="C121" s="11"/>
      <c r="D121" s="11"/>
      <c r="E121" s="11"/>
      <c r="F121" s="11"/>
      <c r="G121" s="11"/>
      <c r="H121" s="11"/>
      <c r="I121" s="11"/>
      <c r="J121" s="10" t="str">
        <f aca="false">IF(C121="","",N(H121)+N(I121))</f>
        <v/>
      </c>
      <c r="K121" s="10" t="str">
        <f aca="false">IF(C121="","",MIN(J121,پارامترها!$B$3))</f>
        <v/>
      </c>
      <c r="L121" s="10" t="str">
        <f aca="false">IF(C121="","",MAX(0,J121-پارامترها!$B$3))</f>
        <v/>
      </c>
      <c r="M121" s="11"/>
      <c r="N121" s="11"/>
      <c r="O121" s="11"/>
      <c r="P121" s="11"/>
      <c r="Q121" s="11"/>
      <c r="R121" s="12" t="str">
        <f aca="false">IF(OR(C121="",N(J121)=0),"",K121*2*(N(H121)*پارامترها!$B$4+N(I121)*پارامترها!$B$5)/J121)</f>
        <v/>
      </c>
      <c r="S121" s="12" t="str">
        <f aca="false">IF(C121="","",N(M121)*پارامترها!$B$6+N(N121)*پارامترها!$B$7+N(O121)*پارامترها!$B$8)</f>
        <v/>
      </c>
      <c r="T121" s="12" t="str">
        <f aca="false">IF(C121="","",N(R121)+N(S121))</f>
        <v/>
      </c>
      <c r="U121" s="10" t="str">
        <f aca="false">IF(C121="","",IF(P121&lt;&gt;"بله","ثبت نشده در HIS",IF(N(L121)&gt;0,"ثبت‌شده؛ مازاد بر سقف","ثبت‌شده")))</f>
        <v/>
      </c>
      <c r="V121" s="11"/>
    </row>
    <row r="122" customFormat="false" ht="15" hidden="false" customHeight="false" outlineLevel="0" collapsed="false">
      <c r="A122" s="10" t="str">
        <f aca="false">IF(C122="","",ROW()-3)</f>
        <v/>
      </c>
      <c r="B122" s="11"/>
      <c r="C122" s="11"/>
      <c r="D122" s="11"/>
      <c r="E122" s="11"/>
      <c r="F122" s="11"/>
      <c r="G122" s="11"/>
      <c r="H122" s="11"/>
      <c r="I122" s="11"/>
      <c r="J122" s="10" t="str">
        <f aca="false">IF(C122="","",N(H122)+N(I122))</f>
        <v/>
      </c>
      <c r="K122" s="10" t="str">
        <f aca="false">IF(C122="","",MIN(J122,پارامترها!$B$3))</f>
        <v/>
      </c>
      <c r="L122" s="10" t="str">
        <f aca="false">IF(C122="","",MAX(0,J122-پارامترها!$B$3))</f>
        <v/>
      </c>
      <c r="M122" s="11"/>
      <c r="N122" s="11"/>
      <c r="O122" s="11"/>
      <c r="P122" s="11"/>
      <c r="Q122" s="11"/>
      <c r="R122" s="12" t="str">
        <f aca="false">IF(OR(C122="",N(J122)=0),"",K122*2*(N(H122)*پارامترها!$B$4+N(I122)*پارامترها!$B$5)/J122)</f>
        <v/>
      </c>
      <c r="S122" s="12" t="str">
        <f aca="false">IF(C122="","",N(M122)*پارامترها!$B$6+N(N122)*پارامترها!$B$7+N(O122)*پارامترها!$B$8)</f>
        <v/>
      </c>
      <c r="T122" s="12" t="str">
        <f aca="false">IF(C122="","",N(R122)+N(S122))</f>
        <v/>
      </c>
      <c r="U122" s="10" t="str">
        <f aca="false">IF(C122="","",IF(P122&lt;&gt;"بله","ثبت نشده در HIS",IF(N(L122)&gt;0,"ثبت‌شده؛ مازاد بر سقف","ثبت‌شده")))</f>
        <v/>
      </c>
      <c r="V122" s="11"/>
    </row>
    <row r="123" customFormat="false" ht="15" hidden="false" customHeight="false" outlineLevel="0" collapsed="false">
      <c r="A123" s="10" t="str">
        <f aca="false">IF(C123="","",ROW()-3)</f>
        <v/>
      </c>
      <c r="B123" s="11"/>
      <c r="C123" s="11"/>
      <c r="D123" s="11"/>
      <c r="E123" s="11"/>
      <c r="F123" s="11"/>
      <c r="G123" s="11"/>
      <c r="H123" s="11"/>
      <c r="I123" s="11"/>
      <c r="J123" s="10" t="str">
        <f aca="false">IF(C123="","",N(H123)+N(I123))</f>
        <v/>
      </c>
      <c r="K123" s="10" t="str">
        <f aca="false">IF(C123="","",MIN(J123,پارامترها!$B$3))</f>
        <v/>
      </c>
      <c r="L123" s="10" t="str">
        <f aca="false">IF(C123="","",MAX(0,J123-پارامترها!$B$3))</f>
        <v/>
      </c>
      <c r="M123" s="11"/>
      <c r="N123" s="11"/>
      <c r="O123" s="11"/>
      <c r="P123" s="11"/>
      <c r="Q123" s="11"/>
      <c r="R123" s="12" t="str">
        <f aca="false">IF(OR(C123="",N(J123)=0),"",K123*2*(N(H123)*پارامترها!$B$4+N(I123)*پارامترها!$B$5)/J123)</f>
        <v/>
      </c>
      <c r="S123" s="12" t="str">
        <f aca="false">IF(C123="","",N(M123)*پارامترها!$B$6+N(N123)*پارامترها!$B$7+N(O123)*پارامترها!$B$8)</f>
        <v/>
      </c>
      <c r="T123" s="12" t="str">
        <f aca="false">IF(C123="","",N(R123)+N(S123))</f>
        <v/>
      </c>
      <c r="U123" s="10" t="str">
        <f aca="false">IF(C123="","",IF(P123&lt;&gt;"بله","ثبت نشده در HIS",IF(N(L123)&gt;0,"ثبت‌شده؛ مازاد بر سقف","ثبت‌شده")))</f>
        <v/>
      </c>
      <c r="V123" s="11"/>
    </row>
    <row r="124" customFormat="false" ht="15" hidden="false" customHeight="false" outlineLevel="0" collapsed="false">
      <c r="A124" s="10" t="str">
        <f aca="false">IF(C124="","",ROW()-3)</f>
        <v/>
      </c>
      <c r="B124" s="11"/>
      <c r="C124" s="11"/>
      <c r="D124" s="11"/>
      <c r="E124" s="11"/>
      <c r="F124" s="11"/>
      <c r="G124" s="11"/>
      <c r="H124" s="11"/>
      <c r="I124" s="11"/>
      <c r="J124" s="10" t="str">
        <f aca="false">IF(C124="","",N(H124)+N(I124))</f>
        <v/>
      </c>
      <c r="K124" s="10" t="str">
        <f aca="false">IF(C124="","",MIN(J124,پارامترها!$B$3))</f>
        <v/>
      </c>
      <c r="L124" s="10" t="str">
        <f aca="false">IF(C124="","",MAX(0,J124-پارامترها!$B$3))</f>
        <v/>
      </c>
      <c r="M124" s="11"/>
      <c r="N124" s="11"/>
      <c r="O124" s="11"/>
      <c r="P124" s="11"/>
      <c r="Q124" s="11"/>
      <c r="R124" s="12" t="str">
        <f aca="false">IF(OR(C124="",N(J124)=0),"",K124*2*(N(H124)*پارامترها!$B$4+N(I124)*پارامترها!$B$5)/J124)</f>
        <v/>
      </c>
      <c r="S124" s="12" t="str">
        <f aca="false">IF(C124="","",N(M124)*پارامترها!$B$6+N(N124)*پارامترها!$B$7+N(O124)*پارامترها!$B$8)</f>
        <v/>
      </c>
      <c r="T124" s="12" t="str">
        <f aca="false">IF(C124="","",N(R124)+N(S124))</f>
        <v/>
      </c>
      <c r="U124" s="10" t="str">
        <f aca="false">IF(C124="","",IF(P124&lt;&gt;"بله","ثبت نشده در HIS",IF(N(L124)&gt;0,"ثبت‌شده؛ مازاد بر سقف","ثبت‌شده")))</f>
        <v/>
      </c>
      <c r="V124" s="11"/>
    </row>
    <row r="125" customFormat="false" ht="15" hidden="false" customHeight="false" outlineLevel="0" collapsed="false">
      <c r="A125" s="10" t="str">
        <f aca="false">IF(C125="","",ROW()-3)</f>
        <v/>
      </c>
      <c r="B125" s="11"/>
      <c r="C125" s="11"/>
      <c r="D125" s="11"/>
      <c r="E125" s="11"/>
      <c r="F125" s="11"/>
      <c r="G125" s="11"/>
      <c r="H125" s="11"/>
      <c r="I125" s="11"/>
      <c r="J125" s="10" t="str">
        <f aca="false">IF(C125="","",N(H125)+N(I125))</f>
        <v/>
      </c>
      <c r="K125" s="10" t="str">
        <f aca="false">IF(C125="","",MIN(J125,پارامترها!$B$3))</f>
        <v/>
      </c>
      <c r="L125" s="10" t="str">
        <f aca="false">IF(C125="","",MAX(0,J125-پارامترها!$B$3))</f>
        <v/>
      </c>
      <c r="M125" s="11"/>
      <c r="N125" s="11"/>
      <c r="O125" s="11"/>
      <c r="P125" s="11"/>
      <c r="Q125" s="11"/>
      <c r="R125" s="12" t="str">
        <f aca="false">IF(OR(C125="",N(J125)=0),"",K125*2*(N(H125)*پارامترها!$B$4+N(I125)*پارامترها!$B$5)/J125)</f>
        <v/>
      </c>
      <c r="S125" s="12" t="str">
        <f aca="false">IF(C125="","",N(M125)*پارامترها!$B$6+N(N125)*پارامترها!$B$7+N(O125)*پارامترها!$B$8)</f>
        <v/>
      </c>
      <c r="T125" s="12" t="str">
        <f aca="false">IF(C125="","",N(R125)+N(S125))</f>
        <v/>
      </c>
      <c r="U125" s="10" t="str">
        <f aca="false">IF(C125="","",IF(P125&lt;&gt;"بله","ثبت نشده در HIS",IF(N(L125)&gt;0,"ثبت‌شده؛ مازاد بر سقف","ثبت‌شده")))</f>
        <v/>
      </c>
      <c r="V125" s="11"/>
    </row>
    <row r="126" customFormat="false" ht="15" hidden="false" customHeight="false" outlineLevel="0" collapsed="false">
      <c r="A126" s="10" t="str">
        <f aca="false">IF(C126="","",ROW()-3)</f>
        <v/>
      </c>
      <c r="B126" s="11"/>
      <c r="C126" s="11"/>
      <c r="D126" s="11"/>
      <c r="E126" s="11"/>
      <c r="F126" s="11"/>
      <c r="G126" s="11"/>
      <c r="H126" s="11"/>
      <c r="I126" s="11"/>
      <c r="J126" s="10" t="str">
        <f aca="false">IF(C126="","",N(H126)+N(I126))</f>
        <v/>
      </c>
      <c r="K126" s="10" t="str">
        <f aca="false">IF(C126="","",MIN(J126,پارامترها!$B$3))</f>
        <v/>
      </c>
      <c r="L126" s="10" t="str">
        <f aca="false">IF(C126="","",MAX(0,J126-پارامترها!$B$3))</f>
        <v/>
      </c>
      <c r="M126" s="11"/>
      <c r="N126" s="11"/>
      <c r="O126" s="11"/>
      <c r="P126" s="11"/>
      <c r="Q126" s="11"/>
      <c r="R126" s="12" t="str">
        <f aca="false">IF(OR(C126="",N(J126)=0),"",K126*2*(N(H126)*پارامترها!$B$4+N(I126)*پارامترها!$B$5)/J126)</f>
        <v/>
      </c>
      <c r="S126" s="12" t="str">
        <f aca="false">IF(C126="","",N(M126)*پارامترها!$B$6+N(N126)*پارامترها!$B$7+N(O126)*پارامترها!$B$8)</f>
        <v/>
      </c>
      <c r="T126" s="12" t="str">
        <f aca="false">IF(C126="","",N(R126)+N(S126))</f>
        <v/>
      </c>
      <c r="U126" s="10" t="str">
        <f aca="false">IF(C126="","",IF(P126&lt;&gt;"بله","ثبت نشده در HIS",IF(N(L126)&gt;0,"ثبت‌شده؛ مازاد بر سقف","ثبت‌شده")))</f>
        <v/>
      </c>
      <c r="V126" s="11"/>
    </row>
    <row r="127" customFormat="false" ht="15" hidden="false" customHeight="false" outlineLevel="0" collapsed="false">
      <c r="A127" s="10" t="str">
        <f aca="false">IF(C127="","",ROW()-3)</f>
        <v/>
      </c>
      <c r="B127" s="11"/>
      <c r="C127" s="11"/>
      <c r="D127" s="11"/>
      <c r="E127" s="11"/>
      <c r="F127" s="11"/>
      <c r="G127" s="11"/>
      <c r="H127" s="11"/>
      <c r="I127" s="11"/>
      <c r="J127" s="10" t="str">
        <f aca="false">IF(C127="","",N(H127)+N(I127))</f>
        <v/>
      </c>
      <c r="K127" s="10" t="str">
        <f aca="false">IF(C127="","",MIN(J127,پارامترها!$B$3))</f>
        <v/>
      </c>
      <c r="L127" s="10" t="str">
        <f aca="false">IF(C127="","",MAX(0,J127-پارامترها!$B$3))</f>
        <v/>
      </c>
      <c r="M127" s="11"/>
      <c r="N127" s="11"/>
      <c r="O127" s="11"/>
      <c r="P127" s="11"/>
      <c r="Q127" s="11"/>
      <c r="R127" s="12" t="str">
        <f aca="false">IF(OR(C127="",N(J127)=0),"",K127*2*(N(H127)*پارامترها!$B$4+N(I127)*پارامترها!$B$5)/J127)</f>
        <v/>
      </c>
      <c r="S127" s="12" t="str">
        <f aca="false">IF(C127="","",N(M127)*پارامترها!$B$6+N(N127)*پارامترها!$B$7+N(O127)*پارامترها!$B$8)</f>
        <v/>
      </c>
      <c r="T127" s="12" t="str">
        <f aca="false">IF(C127="","",N(R127)+N(S127))</f>
        <v/>
      </c>
      <c r="U127" s="10" t="str">
        <f aca="false">IF(C127="","",IF(P127&lt;&gt;"بله","ثبت نشده در HIS",IF(N(L127)&gt;0,"ثبت‌شده؛ مازاد بر سقف","ثبت‌شده")))</f>
        <v/>
      </c>
      <c r="V127" s="11"/>
    </row>
    <row r="128" customFormat="false" ht="15" hidden="false" customHeight="false" outlineLevel="0" collapsed="false">
      <c r="A128" s="10" t="str">
        <f aca="false">IF(C128="","",ROW()-3)</f>
        <v/>
      </c>
      <c r="B128" s="11"/>
      <c r="C128" s="11"/>
      <c r="D128" s="11"/>
      <c r="E128" s="11"/>
      <c r="F128" s="11"/>
      <c r="G128" s="11"/>
      <c r="H128" s="11"/>
      <c r="I128" s="11"/>
      <c r="J128" s="10" t="str">
        <f aca="false">IF(C128="","",N(H128)+N(I128))</f>
        <v/>
      </c>
      <c r="K128" s="10" t="str">
        <f aca="false">IF(C128="","",MIN(J128,پارامترها!$B$3))</f>
        <v/>
      </c>
      <c r="L128" s="10" t="str">
        <f aca="false">IF(C128="","",MAX(0,J128-پارامترها!$B$3))</f>
        <v/>
      </c>
      <c r="M128" s="11"/>
      <c r="N128" s="11"/>
      <c r="O128" s="11"/>
      <c r="P128" s="11"/>
      <c r="Q128" s="11"/>
      <c r="R128" s="12" t="str">
        <f aca="false">IF(OR(C128="",N(J128)=0),"",K128*2*(N(H128)*پارامترها!$B$4+N(I128)*پارامترها!$B$5)/J128)</f>
        <v/>
      </c>
      <c r="S128" s="12" t="str">
        <f aca="false">IF(C128="","",N(M128)*پارامترها!$B$6+N(N128)*پارامترها!$B$7+N(O128)*پارامترها!$B$8)</f>
        <v/>
      </c>
      <c r="T128" s="12" t="str">
        <f aca="false">IF(C128="","",N(R128)+N(S128))</f>
        <v/>
      </c>
      <c r="U128" s="10" t="str">
        <f aca="false">IF(C128="","",IF(P128&lt;&gt;"بله","ثبت نشده در HIS",IF(N(L128)&gt;0,"ثبت‌شده؛ مازاد بر سقف","ثبت‌شده")))</f>
        <v/>
      </c>
      <c r="V128" s="11"/>
    </row>
    <row r="129" customFormat="false" ht="15" hidden="false" customHeight="false" outlineLevel="0" collapsed="false">
      <c r="A129" s="10" t="str">
        <f aca="false">IF(C129="","",ROW()-3)</f>
        <v/>
      </c>
      <c r="B129" s="11"/>
      <c r="C129" s="11"/>
      <c r="D129" s="11"/>
      <c r="E129" s="11"/>
      <c r="F129" s="11"/>
      <c r="G129" s="11"/>
      <c r="H129" s="11"/>
      <c r="I129" s="11"/>
      <c r="J129" s="10" t="str">
        <f aca="false">IF(C129="","",N(H129)+N(I129))</f>
        <v/>
      </c>
      <c r="K129" s="10" t="str">
        <f aca="false">IF(C129="","",MIN(J129,پارامترها!$B$3))</f>
        <v/>
      </c>
      <c r="L129" s="10" t="str">
        <f aca="false">IF(C129="","",MAX(0,J129-پارامترها!$B$3))</f>
        <v/>
      </c>
      <c r="M129" s="11"/>
      <c r="N129" s="11"/>
      <c r="O129" s="11"/>
      <c r="P129" s="11"/>
      <c r="Q129" s="11"/>
      <c r="R129" s="12" t="str">
        <f aca="false">IF(OR(C129="",N(J129)=0),"",K129*2*(N(H129)*پارامترها!$B$4+N(I129)*پارامترها!$B$5)/J129)</f>
        <v/>
      </c>
      <c r="S129" s="12" t="str">
        <f aca="false">IF(C129="","",N(M129)*پارامترها!$B$6+N(N129)*پارامترها!$B$7+N(O129)*پارامترها!$B$8)</f>
        <v/>
      </c>
      <c r="T129" s="12" t="str">
        <f aca="false">IF(C129="","",N(R129)+N(S129))</f>
        <v/>
      </c>
      <c r="U129" s="10" t="str">
        <f aca="false">IF(C129="","",IF(P129&lt;&gt;"بله","ثبت نشده در HIS",IF(N(L129)&gt;0,"ثبت‌شده؛ مازاد بر سقف","ثبت‌شده")))</f>
        <v/>
      </c>
      <c r="V129" s="11"/>
    </row>
    <row r="130" customFormat="false" ht="15" hidden="false" customHeight="false" outlineLevel="0" collapsed="false">
      <c r="A130" s="10" t="str">
        <f aca="false">IF(C130="","",ROW()-3)</f>
        <v/>
      </c>
      <c r="B130" s="11"/>
      <c r="C130" s="11"/>
      <c r="D130" s="11"/>
      <c r="E130" s="11"/>
      <c r="F130" s="11"/>
      <c r="G130" s="11"/>
      <c r="H130" s="11"/>
      <c r="I130" s="11"/>
      <c r="J130" s="10" t="str">
        <f aca="false">IF(C130="","",N(H130)+N(I130))</f>
        <v/>
      </c>
      <c r="K130" s="10" t="str">
        <f aca="false">IF(C130="","",MIN(J130,پارامترها!$B$3))</f>
        <v/>
      </c>
      <c r="L130" s="10" t="str">
        <f aca="false">IF(C130="","",MAX(0,J130-پارامترها!$B$3))</f>
        <v/>
      </c>
      <c r="M130" s="11"/>
      <c r="N130" s="11"/>
      <c r="O130" s="11"/>
      <c r="P130" s="11"/>
      <c r="Q130" s="11"/>
      <c r="R130" s="12" t="str">
        <f aca="false">IF(OR(C130="",N(J130)=0),"",K130*2*(N(H130)*پارامترها!$B$4+N(I130)*پارامترها!$B$5)/J130)</f>
        <v/>
      </c>
      <c r="S130" s="12" t="str">
        <f aca="false">IF(C130="","",N(M130)*پارامترها!$B$6+N(N130)*پارامترها!$B$7+N(O130)*پارامترها!$B$8)</f>
        <v/>
      </c>
      <c r="T130" s="12" t="str">
        <f aca="false">IF(C130="","",N(R130)+N(S130))</f>
        <v/>
      </c>
      <c r="U130" s="10" t="str">
        <f aca="false">IF(C130="","",IF(P130&lt;&gt;"بله","ثبت نشده در HIS",IF(N(L130)&gt;0,"ثبت‌شده؛ مازاد بر سقف","ثبت‌شده")))</f>
        <v/>
      </c>
      <c r="V130" s="11"/>
    </row>
    <row r="131" customFormat="false" ht="15" hidden="false" customHeight="false" outlineLevel="0" collapsed="false">
      <c r="A131" s="10" t="str">
        <f aca="false">IF(C131="","",ROW()-3)</f>
        <v/>
      </c>
      <c r="B131" s="11"/>
      <c r="C131" s="11"/>
      <c r="D131" s="11"/>
      <c r="E131" s="11"/>
      <c r="F131" s="11"/>
      <c r="G131" s="11"/>
      <c r="H131" s="11"/>
      <c r="I131" s="11"/>
      <c r="J131" s="10" t="str">
        <f aca="false">IF(C131="","",N(H131)+N(I131))</f>
        <v/>
      </c>
      <c r="K131" s="10" t="str">
        <f aca="false">IF(C131="","",MIN(J131,پارامترها!$B$3))</f>
        <v/>
      </c>
      <c r="L131" s="10" t="str">
        <f aca="false">IF(C131="","",MAX(0,J131-پارامترها!$B$3))</f>
        <v/>
      </c>
      <c r="M131" s="11"/>
      <c r="N131" s="11"/>
      <c r="O131" s="11"/>
      <c r="P131" s="11"/>
      <c r="Q131" s="11"/>
      <c r="R131" s="12" t="str">
        <f aca="false">IF(OR(C131="",N(J131)=0),"",K131*2*(N(H131)*پارامترها!$B$4+N(I131)*پارامترها!$B$5)/J131)</f>
        <v/>
      </c>
      <c r="S131" s="12" t="str">
        <f aca="false">IF(C131="","",N(M131)*پارامترها!$B$6+N(N131)*پارامترها!$B$7+N(O131)*پارامترها!$B$8)</f>
        <v/>
      </c>
      <c r="T131" s="12" t="str">
        <f aca="false">IF(C131="","",N(R131)+N(S131))</f>
        <v/>
      </c>
      <c r="U131" s="10" t="str">
        <f aca="false">IF(C131="","",IF(P131&lt;&gt;"بله","ثبت نشده در HIS",IF(N(L131)&gt;0,"ثبت‌شده؛ مازاد بر سقف","ثبت‌شده")))</f>
        <v/>
      </c>
      <c r="V131" s="11"/>
    </row>
    <row r="132" customFormat="false" ht="15" hidden="false" customHeight="false" outlineLevel="0" collapsed="false">
      <c r="A132" s="10" t="str">
        <f aca="false">IF(C132="","",ROW()-3)</f>
        <v/>
      </c>
      <c r="B132" s="11"/>
      <c r="C132" s="11"/>
      <c r="D132" s="11"/>
      <c r="E132" s="11"/>
      <c r="F132" s="11"/>
      <c r="G132" s="11"/>
      <c r="H132" s="11"/>
      <c r="I132" s="11"/>
      <c r="J132" s="10" t="str">
        <f aca="false">IF(C132="","",N(H132)+N(I132))</f>
        <v/>
      </c>
      <c r="K132" s="10" t="str">
        <f aca="false">IF(C132="","",MIN(J132,پارامترها!$B$3))</f>
        <v/>
      </c>
      <c r="L132" s="10" t="str">
        <f aca="false">IF(C132="","",MAX(0,J132-پارامترها!$B$3))</f>
        <v/>
      </c>
      <c r="M132" s="11"/>
      <c r="N132" s="11"/>
      <c r="O132" s="11"/>
      <c r="P132" s="11"/>
      <c r="Q132" s="11"/>
      <c r="R132" s="12" t="str">
        <f aca="false">IF(OR(C132="",N(J132)=0),"",K132*2*(N(H132)*پارامترها!$B$4+N(I132)*پارامترها!$B$5)/J132)</f>
        <v/>
      </c>
      <c r="S132" s="12" t="str">
        <f aca="false">IF(C132="","",N(M132)*پارامترها!$B$6+N(N132)*پارامترها!$B$7+N(O132)*پارامترها!$B$8)</f>
        <v/>
      </c>
      <c r="T132" s="12" t="str">
        <f aca="false">IF(C132="","",N(R132)+N(S132))</f>
        <v/>
      </c>
      <c r="U132" s="10" t="str">
        <f aca="false">IF(C132="","",IF(P132&lt;&gt;"بله","ثبت نشده در HIS",IF(N(L132)&gt;0,"ثبت‌شده؛ مازاد بر سقف","ثبت‌شده")))</f>
        <v/>
      </c>
      <c r="V132" s="11"/>
    </row>
    <row r="133" customFormat="false" ht="15" hidden="false" customHeight="false" outlineLevel="0" collapsed="false">
      <c r="A133" s="10" t="str">
        <f aca="false">IF(C133="","",ROW()-3)</f>
        <v/>
      </c>
      <c r="B133" s="11"/>
      <c r="C133" s="11"/>
      <c r="D133" s="11"/>
      <c r="E133" s="11"/>
      <c r="F133" s="11"/>
      <c r="G133" s="11"/>
      <c r="H133" s="11"/>
      <c r="I133" s="11"/>
      <c r="J133" s="10" t="str">
        <f aca="false">IF(C133="","",N(H133)+N(I133))</f>
        <v/>
      </c>
      <c r="K133" s="10" t="str">
        <f aca="false">IF(C133="","",MIN(J133,پارامترها!$B$3))</f>
        <v/>
      </c>
      <c r="L133" s="10" t="str">
        <f aca="false">IF(C133="","",MAX(0,J133-پارامترها!$B$3))</f>
        <v/>
      </c>
      <c r="M133" s="11"/>
      <c r="N133" s="11"/>
      <c r="O133" s="11"/>
      <c r="P133" s="11"/>
      <c r="Q133" s="11"/>
      <c r="R133" s="12" t="str">
        <f aca="false">IF(OR(C133="",N(J133)=0),"",K133*2*(N(H133)*پارامترها!$B$4+N(I133)*پارامترها!$B$5)/J133)</f>
        <v/>
      </c>
      <c r="S133" s="12" t="str">
        <f aca="false">IF(C133="","",N(M133)*پارامترها!$B$6+N(N133)*پارامترها!$B$7+N(O133)*پارامترها!$B$8)</f>
        <v/>
      </c>
      <c r="T133" s="12" t="str">
        <f aca="false">IF(C133="","",N(R133)+N(S133))</f>
        <v/>
      </c>
      <c r="U133" s="10" t="str">
        <f aca="false">IF(C133="","",IF(P133&lt;&gt;"بله","ثبت نشده در HIS",IF(N(L133)&gt;0,"ثبت‌شده؛ مازاد بر سقف","ثبت‌شده")))</f>
        <v/>
      </c>
      <c r="V133" s="11"/>
    </row>
    <row r="134" customFormat="false" ht="15" hidden="false" customHeight="false" outlineLevel="0" collapsed="false">
      <c r="A134" s="10" t="str">
        <f aca="false">IF(C134="","",ROW()-3)</f>
        <v/>
      </c>
      <c r="B134" s="11"/>
      <c r="C134" s="11"/>
      <c r="D134" s="11"/>
      <c r="E134" s="11"/>
      <c r="F134" s="11"/>
      <c r="G134" s="11"/>
      <c r="H134" s="11"/>
      <c r="I134" s="11"/>
      <c r="J134" s="10" t="str">
        <f aca="false">IF(C134="","",N(H134)+N(I134))</f>
        <v/>
      </c>
      <c r="K134" s="10" t="str">
        <f aca="false">IF(C134="","",MIN(J134,پارامترها!$B$3))</f>
        <v/>
      </c>
      <c r="L134" s="10" t="str">
        <f aca="false">IF(C134="","",MAX(0,J134-پارامترها!$B$3))</f>
        <v/>
      </c>
      <c r="M134" s="11"/>
      <c r="N134" s="11"/>
      <c r="O134" s="11"/>
      <c r="P134" s="11"/>
      <c r="Q134" s="11"/>
      <c r="R134" s="12" t="str">
        <f aca="false">IF(OR(C134="",N(J134)=0),"",K134*2*(N(H134)*پارامترها!$B$4+N(I134)*پارامترها!$B$5)/J134)</f>
        <v/>
      </c>
      <c r="S134" s="12" t="str">
        <f aca="false">IF(C134="","",N(M134)*پارامترها!$B$6+N(N134)*پارامترها!$B$7+N(O134)*پارامترها!$B$8)</f>
        <v/>
      </c>
      <c r="T134" s="12" t="str">
        <f aca="false">IF(C134="","",N(R134)+N(S134))</f>
        <v/>
      </c>
      <c r="U134" s="10" t="str">
        <f aca="false">IF(C134="","",IF(P134&lt;&gt;"بله","ثبت نشده در HIS",IF(N(L134)&gt;0,"ثبت‌شده؛ مازاد بر سقف","ثبت‌شده")))</f>
        <v/>
      </c>
      <c r="V134" s="11"/>
    </row>
    <row r="135" customFormat="false" ht="15" hidden="false" customHeight="false" outlineLevel="0" collapsed="false">
      <c r="A135" s="10" t="str">
        <f aca="false">IF(C135="","",ROW()-3)</f>
        <v/>
      </c>
      <c r="B135" s="11"/>
      <c r="C135" s="11"/>
      <c r="D135" s="11"/>
      <c r="E135" s="11"/>
      <c r="F135" s="11"/>
      <c r="G135" s="11"/>
      <c r="H135" s="11"/>
      <c r="I135" s="11"/>
      <c r="J135" s="10" t="str">
        <f aca="false">IF(C135="","",N(H135)+N(I135))</f>
        <v/>
      </c>
      <c r="K135" s="10" t="str">
        <f aca="false">IF(C135="","",MIN(J135,پارامترها!$B$3))</f>
        <v/>
      </c>
      <c r="L135" s="10" t="str">
        <f aca="false">IF(C135="","",MAX(0,J135-پارامترها!$B$3))</f>
        <v/>
      </c>
      <c r="M135" s="11"/>
      <c r="N135" s="11"/>
      <c r="O135" s="11"/>
      <c r="P135" s="11"/>
      <c r="Q135" s="11"/>
      <c r="R135" s="12" t="str">
        <f aca="false">IF(OR(C135="",N(J135)=0),"",K135*2*(N(H135)*پارامترها!$B$4+N(I135)*پارامترها!$B$5)/J135)</f>
        <v/>
      </c>
      <c r="S135" s="12" t="str">
        <f aca="false">IF(C135="","",N(M135)*پارامترها!$B$6+N(N135)*پارامترها!$B$7+N(O135)*پارامترها!$B$8)</f>
        <v/>
      </c>
      <c r="T135" s="12" t="str">
        <f aca="false">IF(C135="","",N(R135)+N(S135))</f>
        <v/>
      </c>
      <c r="U135" s="10" t="str">
        <f aca="false">IF(C135="","",IF(P135&lt;&gt;"بله","ثبت نشده در HIS",IF(N(L135)&gt;0,"ثبت‌شده؛ مازاد بر سقف","ثبت‌شده")))</f>
        <v/>
      </c>
      <c r="V135" s="11"/>
    </row>
    <row r="136" customFormat="false" ht="15" hidden="false" customHeight="false" outlineLevel="0" collapsed="false">
      <c r="A136" s="10" t="str">
        <f aca="false">IF(C136="","",ROW()-3)</f>
        <v/>
      </c>
      <c r="B136" s="11"/>
      <c r="C136" s="11"/>
      <c r="D136" s="11"/>
      <c r="E136" s="11"/>
      <c r="F136" s="11"/>
      <c r="G136" s="11"/>
      <c r="H136" s="11"/>
      <c r="I136" s="11"/>
      <c r="J136" s="10" t="str">
        <f aca="false">IF(C136="","",N(H136)+N(I136))</f>
        <v/>
      </c>
      <c r="K136" s="10" t="str">
        <f aca="false">IF(C136="","",MIN(J136,پارامترها!$B$3))</f>
        <v/>
      </c>
      <c r="L136" s="10" t="str">
        <f aca="false">IF(C136="","",MAX(0,J136-پارامترها!$B$3))</f>
        <v/>
      </c>
      <c r="M136" s="11"/>
      <c r="N136" s="11"/>
      <c r="O136" s="11"/>
      <c r="P136" s="11"/>
      <c r="Q136" s="11"/>
      <c r="R136" s="12" t="str">
        <f aca="false">IF(OR(C136="",N(J136)=0),"",K136*2*(N(H136)*پارامترها!$B$4+N(I136)*پارامترها!$B$5)/J136)</f>
        <v/>
      </c>
      <c r="S136" s="12" t="str">
        <f aca="false">IF(C136="","",N(M136)*پارامترها!$B$6+N(N136)*پارامترها!$B$7+N(O136)*پارامترها!$B$8)</f>
        <v/>
      </c>
      <c r="T136" s="12" t="str">
        <f aca="false">IF(C136="","",N(R136)+N(S136))</f>
        <v/>
      </c>
      <c r="U136" s="10" t="str">
        <f aca="false">IF(C136="","",IF(P136&lt;&gt;"بله","ثبت نشده در HIS",IF(N(L136)&gt;0,"ثبت‌شده؛ مازاد بر سقف","ثبت‌شده")))</f>
        <v/>
      </c>
      <c r="V136" s="11"/>
    </row>
    <row r="137" customFormat="false" ht="15" hidden="false" customHeight="false" outlineLevel="0" collapsed="false">
      <c r="A137" s="10" t="str">
        <f aca="false">IF(C137="","",ROW()-3)</f>
        <v/>
      </c>
      <c r="B137" s="11"/>
      <c r="C137" s="11"/>
      <c r="D137" s="11"/>
      <c r="E137" s="11"/>
      <c r="F137" s="11"/>
      <c r="G137" s="11"/>
      <c r="H137" s="11"/>
      <c r="I137" s="11"/>
      <c r="J137" s="10" t="str">
        <f aca="false">IF(C137="","",N(H137)+N(I137))</f>
        <v/>
      </c>
      <c r="K137" s="10" t="str">
        <f aca="false">IF(C137="","",MIN(J137,پارامترها!$B$3))</f>
        <v/>
      </c>
      <c r="L137" s="10" t="str">
        <f aca="false">IF(C137="","",MAX(0,J137-پارامترها!$B$3))</f>
        <v/>
      </c>
      <c r="M137" s="11"/>
      <c r="N137" s="11"/>
      <c r="O137" s="11"/>
      <c r="P137" s="11"/>
      <c r="Q137" s="11"/>
      <c r="R137" s="12" t="str">
        <f aca="false">IF(OR(C137="",N(J137)=0),"",K137*2*(N(H137)*پارامترها!$B$4+N(I137)*پارامترها!$B$5)/J137)</f>
        <v/>
      </c>
      <c r="S137" s="12" t="str">
        <f aca="false">IF(C137="","",N(M137)*پارامترها!$B$6+N(N137)*پارامترها!$B$7+N(O137)*پارامترها!$B$8)</f>
        <v/>
      </c>
      <c r="T137" s="12" t="str">
        <f aca="false">IF(C137="","",N(R137)+N(S137))</f>
        <v/>
      </c>
      <c r="U137" s="10" t="str">
        <f aca="false">IF(C137="","",IF(P137&lt;&gt;"بله","ثبت نشده در HIS",IF(N(L137)&gt;0,"ثبت‌شده؛ مازاد بر سقف","ثبت‌شده")))</f>
        <v/>
      </c>
      <c r="V137" s="11"/>
    </row>
    <row r="138" customFormat="false" ht="15" hidden="false" customHeight="false" outlineLevel="0" collapsed="false">
      <c r="A138" s="10" t="str">
        <f aca="false">IF(C138="","",ROW()-3)</f>
        <v/>
      </c>
      <c r="B138" s="11"/>
      <c r="C138" s="11"/>
      <c r="D138" s="11"/>
      <c r="E138" s="11"/>
      <c r="F138" s="11"/>
      <c r="G138" s="11"/>
      <c r="H138" s="11"/>
      <c r="I138" s="11"/>
      <c r="J138" s="10" t="str">
        <f aca="false">IF(C138="","",N(H138)+N(I138))</f>
        <v/>
      </c>
      <c r="K138" s="10" t="str">
        <f aca="false">IF(C138="","",MIN(J138,پارامترها!$B$3))</f>
        <v/>
      </c>
      <c r="L138" s="10" t="str">
        <f aca="false">IF(C138="","",MAX(0,J138-پارامترها!$B$3))</f>
        <v/>
      </c>
      <c r="M138" s="11"/>
      <c r="N138" s="11"/>
      <c r="O138" s="11"/>
      <c r="P138" s="11"/>
      <c r="Q138" s="11"/>
      <c r="R138" s="12" t="str">
        <f aca="false">IF(OR(C138="",N(J138)=0),"",K138*2*(N(H138)*پارامترها!$B$4+N(I138)*پارامترها!$B$5)/J138)</f>
        <v/>
      </c>
      <c r="S138" s="12" t="str">
        <f aca="false">IF(C138="","",N(M138)*پارامترها!$B$6+N(N138)*پارامترها!$B$7+N(O138)*پارامترها!$B$8)</f>
        <v/>
      </c>
      <c r="T138" s="12" t="str">
        <f aca="false">IF(C138="","",N(R138)+N(S138))</f>
        <v/>
      </c>
      <c r="U138" s="10" t="str">
        <f aca="false">IF(C138="","",IF(P138&lt;&gt;"بله","ثبت نشده در HIS",IF(N(L138)&gt;0,"ثبت‌شده؛ مازاد بر سقف","ثبت‌شده")))</f>
        <v/>
      </c>
      <c r="V138" s="11"/>
    </row>
    <row r="139" customFormat="false" ht="15" hidden="false" customHeight="false" outlineLevel="0" collapsed="false">
      <c r="A139" s="10" t="str">
        <f aca="false">IF(C139="","",ROW()-3)</f>
        <v/>
      </c>
      <c r="B139" s="11"/>
      <c r="C139" s="11"/>
      <c r="D139" s="11"/>
      <c r="E139" s="11"/>
      <c r="F139" s="11"/>
      <c r="G139" s="11"/>
      <c r="H139" s="11"/>
      <c r="I139" s="11"/>
      <c r="J139" s="10" t="str">
        <f aca="false">IF(C139="","",N(H139)+N(I139))</f>
        <v/>
      </c>
      <c r="K139" s="10" t="str">
        <f aca="false">IF(C139="","",MIN(J139,پارامترها!$B$3))</f>
        <v/>
      </c>
      <c r="L139" s="10" t="str">
        <f aca="false">IF(C139="","",MAX(0,J139-پارامترها!$B$3))</f>
        <v/>
      </c>
      <c r="M139" s="11"/>
      <c r="N139" s="11"/>
      <c r="O139" s="11"/>
      <c r="P139" s="11"/>
      <c r="Q139" s="11"/>
      <c r="R139" s="12" t="str">
        <f aca="false">IF(OR(C139="",N(J139)=0),"",K139*2*(N(H139)*پارامترها!$B$4+N(I139)*پارامترها!$B$5)/J139)</f>
        <v/>
      </c>
      <c r="S139" s="12" t="str">
        <f aca="false">IF(C139="","",N(M139)*پارامترها!$B$6+N(N139)*پارامترها!$B$7+N(O139)*پارامترها!$B$8)</f>
        <v/>
      </c>
      <c r="T139" s="12" t="str">
        <f aca="false">IF(C139="","",N(R139)+N(S139))</f>
        <v/>
      </c>
      <c r="U139" s="10" t="str">
        <f aca="false">IF(C139="","",IF(P139&lt;&gt;"بله","ثبت نشده در HIS",IF(N(L139)&gt;0,"ثبت‌شده؛ مازاد بر سقف","ثبت‌شده")))</f>
        <v/>
      </c>
      <c r="V139" s="11"/>
    </row>
    <row r="140" customFormat="false" ht="15" hidden="false" customHeight="false" outlineLevel="0" collapsed="false">
      <c r="A140" s="10" t="str">
        <f aca="false">IF(C140="","",ROW()-3)</f>
        <v/>
      </c>
      <c r="B140" s="11"/>
      <c r="C140" s="11"/>
      <c r="D140" s="11"/>
      <c r="E140" s="11"/>
      <c r="F140" s="11"/>
      <c r="G140" s="11"/>
      <c r="H140" s="11"/>
      <c r="I140" s="11"/>
      <c r="J140" s="10" t="str">
        <f aca="false">IF(C140="","",N(H140)+N(I140))</f>
        <v/>
      </c>
      <c r="K140" s="10" t="str">
        <f aca="false">IF(C140="","",MIN(J140,پارامترها!$B$3))</f>
        <v/>
      </c>
      <c r="L140" s="10" t="str">
        <f aca="false">IF(C140="","",MAX(0,J140-پارامترها!$B$3))</f>
        <v/>
      </c>
      <c r="M140" s="11"/>
      <c r="N140" s="11"/>
      <c r="O140" s="11"/>
      <c r="P140" s="11"/>
      <c r="Q140" s="11"/>
      <c r="R140" s="12" t="str">
        <f aca="false">IF(OR(C140="",N(J140)=0),"",K140*2*(N(H140)*پارامترها!$B$4+N(I140)*پارامترها!$B$5)/J140)</f>
        <v/>
      </c>
      <c r="S140" s="12" t="str">
        <f aca="false">IF(C140="","",N(M140)*پارامترها!$B$6+N(N140)*پارامترها!$B$7+N(O140)*پارامترها!$B$8)</f>
        <v/>
      </c>
      <c r="T140" s="12" t="str">
        <f aca="false">IF(C140="","",N(R140)+N(S140))</f>
        <v/>
      </c>
      <c r="U140" s="10" t="str">
        <f aca="false">IF(C140="","",IF(P140&lt;&gt;"بله","ثبت نشده در HIS",IF(N(L140)&gt;0,"ثبت‌شده؛ مازاد بر سقف","ثبت‌شده")))</f>
        <v/>
      </c>
      <c r="V140" s="11"/>
    </row>
    <row r="141" customFormat="false" ht="15" hidden="false" customHeight="false" outlineLevel="0" collapsed="false">
      <c r="A141" s="10" t="str">
        <f aca="false">IF(C141="","",ROW()-3)</f>
        <v/>
      </c>
      <c r="B141" s="11"/>
      <c r="C141" s="11"/>
      <c r="D141" s="11"/>
      <c r="E141" s="11"/>
      <c r="F141" s="11"/>
      <c r="G141" s="11"/>
      <c r="H141" s="11"/>
      <c r="I141" s="11"/>
      <c r="J141" s="10" t="str">
        <f aca="false">IF(C141="","",N(H141)+N(I141))</f>
        <v/>
      </c>
      <c r="K141" s="10" t="str">
        <f aca="false">IF(C141="","",MIN(J141,پارامترها!$B$3))</f>
        <v/>
      </c>
      <c r="L141" s="10" t="str">
        <f aca="false">IF(C141="","",MAX(0,J141-پارامترها!$B$3))</f>
        <v/>
      </c>
      <c r="M141" s="11"/>
      <c r="N141" s="11"/>
      <c r="O141" s="11"/>
      <c r="P141" s="11"/>
      <c r="Q141" s="11"/>
      <c r="R141" s="12" t="str">
        <f aca="false">IF(OR(C141="",N(J141)=0),"",K141*2*(N(H141)*پارامترها!$B$4+N(I141)*پارامترها!$B$5)/J141)</f>
        <v/>
      </c>
      <c r="S141" s="12" t="str">
        <f aca="false">IF(C141="","",N(M141)*پارامترها!$B$6+N(N141)*پارامترها!$B$7+N(O141)*پارامترها!$B$8)</f>
        <v/>
      </c>
      <c r="T141" s="12" t="str">
        <f aca="false">IF(C141="","",N(R141)+N(S141))</f>
        <v/>
      </c>
      <c r="U141" s="10" t="str">
        <f aca="false">IF(C141="","",IF(P141&lt;&gt;"بله","ثبت نشده در HIS",IF(N(L141)&gt;0,"ثبت‌شده؛ مازاد بر سقف","ثبت‌شده")))</f>
        <v/>
      </c>
      <c r="V141" s="11"/>
    </row>
    <row r="142" customFormat="false" ht="15" hidden="false" customHeight="false" outlineLevel="0" collapsed="false">
      <c r="A142" s="10" t="str">
        <f aca="false">IF(C142="","",ROW()-3)</f>
        <v/>
      </c>
      <c r="B142" s="11"/>
      <c r="C142" s="11"/>
      <c r="D142" s="11"/>
      <c r="E142" s="11"/>
      <c r="F142" s="11"/>
      <c r="G142" s="11"/>
      <c r="H142" s="11"/>
      <c r="I142" s="11"/>
      <c r="J142" s="10" t="str">
        <f aca="false">IF(C142="","",N(H142)+N(I142))</f>
        <v/>
      </c>
      <c r="K142" s="10" t="str">
        <f aca="false">IF(C142="","",MIN(J142,پارامترها!$B$3))</f>
        <v/>
      </c>
      <c r="L142" s="10" t="str">
        <f aca="false">IF(C142="","",MAX(0,J142-پارامترها!$B$3))</f>
        <v/>
      </c>
      <c r="M142" s="11"/>
      <c r="N142" s="11"/>
      <c r="O142" s="11"/>
      <c r="P142" s="11"/>
      <c r="Q142" s="11"/>
      <c r="R142" s="12" t="str">
        <f aca="false">IF(OR(C142="",N(J142)=0),"",K142*2*(N(H142)*پارامترها!$B$4+N(I142)*پارامترها!$B$5)/J142)</f>
        <v/>
      </c>
      <c r="S142" s="12" t="str">
        <f aca="false">IF(C142="","",N(M142)*پارامترها!$B$6+N(N142)*پارامترها!$B$7+N(O142)*پارامترها!$B$8)</f>
        <v/>
      </c>
      <c r="T142" s="12" t="str">
        <f aca="false">IF(C142="","",N(R142)+N(S142))</f>
        <v/>
      </c>
      <c r="U142" s="10" t="str">
        <f aca="false">IF(C142="","",IF(P142&lt;&gt;"بله","ثبت نشده در HIS",IF(N(L142)&gt;0,"ثبت‌شده؛ مازاد بر سقف","ثبت‌شده")))</f>
        <v/>
      </c>
      <c r="V142" s="11"/>
    </row>
    <row r="143" customFormat="false" ht="15" hidden="false" customHeight="false" outlineLevel="0" collapsed="false">
      <c r="A143" s="10" t="str">
        <f aca="false">IF(C143="","",ROW()-3)</f>
        <v/>
      </c>
      <c r="B143" s="11"/>
      <c r="C143" s="11"/>
      <c r="D143" s="11"/>
      <c r="E143" s="11"/>
      <c r="F143" s="11"/>
      <c r="G143" s="11"/>
      <c r="H143" s="11"/>
      <c r="I143" s="11"/>
      <c r="J143" s="10" t="str">
        <f aca="false">IF(C143="","",N(H143)+N(I143))</f>
        <v/>
      </c>
      <c r="K143" s="10" t="str">
        <f aca="false">IF(C143="","",MIN(J143,پارامترها!$B$3))</f>
        <v/>
      </c>
      <c r="L143" s="10" t="str">
        <f aca="false">IF(C143="","",MAX(0,J143-پارامترها!$B$3))</f>
        <v/>
      </c>
      <c r="M143" s="11"/>
      <c r="N143" s="11"/>
      <c r="O143" s="11"/>
      <c r="P143" s="11"/>
      <c r="Q143" s="11"/>
      <c r="R143" s="12" t="str">
        <f aca="false">IF(OR(C143="",N(J143)=0),"",K143*2*(N(H143)*پارامترها!$B$4+N(I143)*پارامترها!$B$5)/J143)</f>
        <v/>
      </c>
      <c r="S143" s="12" t="str">
        <f aca="false">IF(C143="","",N(M143)*پارامترها!$B$6+N(N143)*پارامترها!$B$7+N(O143)*پارامترها!$B$8)</f>
        <v/>
      </c>
      <c r="T143" s="12" t="str">
        <f aca="false">IF(C143="","",N(R143)+N(S143))</f>
        <v/>
      </c>
      <c r="U143" s="10" t="str">
        <f aca="false">IF(C143="","",IF(P143&lt;&gt;"بله","ثبت نشده در HIS",IF(N(L143)&gt;0,"ثبت‌شده؛ مازاد بر سقف","ثبت‌شده")))</f>
        <v/>
      </c>
      <c r="V143" s="11"/>
    </row>
    <row r="144" customFormat="false" ht="15" hidden="false" customHeight="false" outlineLevel="0" collapsed="false">
      <c r="A144" s="10" t="str">
        <f aca="false">IF(C144="","",ROW()-3)</f>
        <v/>
      </c>
      <c r="B144" s="11"/>
      <c r="C144" s="11"/>
      <c r="D144" s="11"/>
      <c r="E144" s="11"/>
      <c r="F144" s="11"/>
      <c r="G144" s="11"/>
      <c r="H144" s="11"/>
      <c r="I144" s="11"/>
      <c r="J144" s="10" t="str">
        <f aca="false">IF(C144="","",N(H144)+N(I144))</f>
        <v/>
      </c>
      <c r="K144" s="10" t="str">
        <f aca="false">IF(C144="","",MIN(J144,پارامترها!$B$3))</f>
        <v/>
      </c>
      <c r="L144" s="10" t="str">
        <f aca="false">IF(C144="","",MAX(0,J144-پارامترها!$B$3))</f>
        <v/>
      </c>
      <c r="M144" s="11"/>
      <c r="N144" s="11"/>
      <c r="O144" s="11"/>
      <c r="P144" s="11"/>
      <c r="Q144" s="11"/>
      <c r="R144" s="12" t="str">
        <f aca="false">IF(OR(C144="",N(J144)=0),"",K144*2*(N(H144)*پارامترها!$B$4+N(I144)*پارامترها!$B$5)/J144)</f>
        <v/>
      </c>
      <c r="S144" s="12" t="str">
        <f aca="false">IF(C144="","",N(M144)*پارامترها!$B$6+N(N144)*پارامترها!$B$7+N(O144)*پارامترها!$B$8)</f>
        <v/>
      </c>
      <c r="T144" s="12" t="str">
        <f aca="false">IF(C144="","",N(R144)+N(S144))</f>
        <v/>
      </c>
      <c r="U144" s="10" t="str">
        <f aca="false">IF(C144="","",IF(P144&lt;&gt;"بله","ثبت نشده در HIS",IF(N(L144)&gt;0,"ثبت‌شده؛ مازاد بر سقف","ثبت‌شده")))</f>
        <v/>
      </c>
      <c r="V144" s="11"/>
    </row>
    <row r="145" customFormat="false" ht="15" hidden="false" customHeight="false" outlineLevel="0" collapsed="false">
      <c r="A145" s="10" t="str">
        <f aca="false">IF(C145="","",ROW()-3)</f>
        <v/>
      </c>
      <c r="B145" s="11"/>
      <c r="C145" s="11"/>
      <c r="D145" s="11"/>
      <c r="E145" s="11"/>
      <c r="F145" s="11"/>
      <c r="G145" s="11"/>
      <c r="H145" s="11"/>
      <c r="I145" s="11"/>
      <c r="J145" s="10" t="str">
        <f aca="false">IF(C145="","",N(H145)+N(I145))</f>
        <v/>
      </c>
      <c r="K145" s="10" t="str">
        <f aca="false">IF(C145="","",MIN(J145,پارامترها!$B$3))</f>
        <v/>
      </c>
      <c r="L145" s="10" t="str">
        <f aca="false">IF(C145="","",MAX(0,J145-پارامترها!$B$3))</f>
        <v/>
      </c>
      <c r="M145" s="11"/>
      <c r="N145" s="11"/>
      <c r="O145" s="11"/>
      <c r="P145" s="11"/>
      <c r="Q145" s="11"/>
      <c r="R145" s="12" t="str">
        <f aca="false">IF(OR(C145="",N(J145)=0),"",K145*2*(N(H145)*پارامترها!$B$4+N(I145)*پارامترها!$B$5)/J145)</f>
        <v/>
      </c>
      <c r="S145" s="12" t="str">
        <f aca="false">IF(C145="","",N(M145)*پارامترها!$B$6+N(N145)*پارامترها!$B$7+N(O145)*پارامترها!$B$8)</f>
        <v/>
      </c>
      <c r="T145" s="12" t="str">
        <f aca="false">IF(C145="","",N(R145)+N(S145))</f>
        <v/>
      </c>
      <c r="U145" s="10" t="str">
        <f aca="false">IF(C145="","",IF(P145&lt;&gt;"بله","ثبت نشده در HIS",IF(N(L145)&gt;0,"ثبت‌شده؛ مازاد بر سقف","ثبت‌شده")))</f>
        <v/>
      </c>
      <c r="V145" s="11"/>
    </row>
    <row r="146" customFormat="false" ht="15" hidden="false" customHeight="false" outlineLevel="0" collapsed="false">
      <c r="A146" s="10" t="str">
        <f aca="false">IF(C146="","",ROW()-3)</f>
        <v/>
      </c>
      <c r="B146" s="11"/>
      <c r="C146" s="11"/>
      <c r="D146" s="11"/>
      <c r="E146" s="11"/>
      <c r="F146" s="11"/>
      <c r="G146" s="11"/>
      <c r="H146" s="11"/>
      <c r="I146" s="11"/>
      <c r="J146" s="10" t="str">
        <f aca="false">IF(C146="","",N(H146)+N(I146))</f>
        <v/>
      </c>
      <c r="K146" s="10" t="str">
        <f aca="false">IF(C146="","",MIN(J146,پارامترها!$B$3))</f>
        <v/>
      </c>
      <c r="L146" s="10" t="str">
        <f aca="false">IF(C146="","",MAX(0,J146-پارامترها!$B$3))</f>
        <v/>
      </c>
      <c r="M146" s="11"/>
      <c r="N146" s="11"/>
      <c r="O146" s="11"/>
      <c r="P146" s="11"/>
      <c r="Q146" s="11"/>
      <c r="R146" s="12" t="str">
        <f aca="false">IF(OR(C146="",N(J146)=0),"",K146*2*(N(H146)*پارامترها!$B$4+N(I146)*پارامترها!$B$5)/J146)</f>
        <v/>
      </c>
      <c r="S146" s="12" t="str">
        <f aca="false">IF(C146="","",N(M146)*پارامترها!$B$6+N(N146)*پارامترها!$B$7+N(O146)*پارامترها!$B$8)</f>
        <v/>
      </c>
      <c r="T146" s="12" t="str">
        <f aca="false">IF(C146="","",N(R146)+N(S146))</f>
        <v/>
      </c>
      <c r="U146" s="10" t="str">
        <f aca="false">IF(C146="","",IF(P146&lt;&gt;"بله","ثبت نشده در HIS",IF(N(L146)&gt;0,"ثبت‌شده؛ مازاد بر سقف","ثبت‌شده")))</f>
        <v/>
      </c>
      <c r="V146" s="11"/>
    </row>
    <row r="147" customFormat="false" ht="15" hidden="false" customHeight="false" outlineLevel="0" collapsed="false">
      <c r="A147" s="10" t="str">
        <f aca="false">IF(C147="","",ROW()-3)</f>
        <v/>
      </c>
      <c r="B147" s="11"/>
      <c r="C147" s="11"/>
      <c r="D147" s="11"/>
      <c r="E147" s="11"/>
      <c r="F147" s="11"/>
      <c r="G147" s="11"/>
      <c r="H147" s="11"/>
      <c r="I147" s="11"/>
      <c r="J147" s="10" t="str">
        <f aca="false">IF(C147="","",N(H147)+N(I147))</f>
        <v/>
      </c>
      <c r="K147" s="10" t="str">
        <f aca="false">IF(C147="","",MIN(J147,پارامترها!$B$3))</f>
        <v/>
      </c>
      <c r="L147" s="10" t="str">
        <f aca="false">IF(C147="","",MAX(0,J147-پارامترها!$B$3))</f>
        <v/>
      </c>
      <c r="M147" s="11"/>
      <c r="N147" s="11"/>
      <c r="O147" s="11"/>
      <c r="P147" s="11"/>
      <c r="Q147" s="11"/>
      <c r="R147" s="12" t="str">
        <f aca="false">IF(OR(C147="",N(J147)=0),"",K147*2*(N(H147)*پارامترها!$B$4+N(I147)*پارامترها!$B$5)/J147)</f>
        <v/>
      </c>
      <c r="S147" s="12" t="str">
        <f aca="false">IF(C147="","",N(M147)*پارامترها!$B$6+N(N147)*پارامترها!$B$7+N(O147)*پارامترها!$B$8)</f>
        <v/>
      </c>
      <c r="T147" s="12" t="str">
        <f aca="false">IF(C147="","",N(R147)+N(S147))</f>
        <v/>
      </c>
      <c r="U147" s="10" t="str">
        <f aca="false">IF(C147="","",IF(P147&lt;&gt;"بله","ثبت نشده در HIS",IF(N(L147)&gt;0,"ثبت‌شده؛ مازاد بر سقف","ثبت‌شده")))</f>
        <v/>
      </c>
      <c r="V147" s="11"/>
    </row>
    <row r="148" customFormat="false" ht="15" hidden="false" customHeight="false" outlineLevel="0" collapsed="false">
      <c r="A148" s="10" t="str">
        <f aca="false">IF(C148="","",ROW()-3)</f>
        <v/>
      </c>
      <c r="B148" s="11"/>
      <c r="C148" s="11"/>
      <c r="D148" s="11"/>
      <c r="E148" s="11"/>
      <c r="F148" s="11"/>
      <c r="G148" s="11"/>
      <c r="H148" s="11"/>
      <c r="I148" s="11"/>
      <c r="J148" s="10" t="str">
        <f aca="false">IF(C148="","",N(H148)+N(I148))</f>
        <v/>
      </c>
      <c r="K148" s="10" t="str">
        <f aca="false">IF(C148="","",MIN(J148,پارامترها!$B$3))</f>
        <v/>
      </c>
      <c r="L148" s="10" t="str">
        <f aca="false">IF(C148="","",MAX(0,J148-پارامترها!$B$3))</f>
        <v/>
      </c>
      <c r="M148" s="11"/>
      <c r="N148" s="11"/>
      <c r="O148" s="11"/>
      <c r="P148" s="11"/>
      <c r="Q148" s="11"/>
      <c r="R148" s="12" t="str">
        <f aca="false">IF(OR(C148="",N(J148)=0),"",K148*2*(N(H148)*پارامترها!$B$4+N(I148)*پارامترها!$B$5)/J148)</f>
        <v/>
      </c>
      <c r="S148" s="12" t="str">
        <f aca="false">IF(C148="","",N(M148)*پارامترها!$B$6+N(N148)*پارامترها!$B$7+N(O148)*پارامترها!$B$8)</f>
        <v/>
      </c>
      <c r="T148" s="12" t="str">
        <f aca="false">IF(C148="","",N(R148)+N(S148))</f>
        <v/>
      </c>
      <c r="U148" s="10" t="str">
        <f aca="false">IF(C148="","",IF(P148&lt;&gt;"بله","ثبت نشده در HIS",IF(N(L148)&gt;0,"ثبت‌شده؛ مازاد بر سقف","ثبت‌شده")))</f>
        <v/>
      </c>
      <c r="V148" s="11"/>
    </row>
    <row r="149" customFormat="false" ht="15" hidden="false" customHeight="false" outlineLevel="0" collapsed="false">
      <c r="A149" s="10" t="str">
        <f aca="false">IF(C149="","",ROW()-3)</f>
        <v/>
      </c>
      <c r="B149" s="11"/>
      <c r="C149" s="11"/>
      <c r="D149" s="11"/>
      <c r="E149" s="11"/>
      <c r="F149" s="11"/>
      <c r="G149" s="11"/>
      <c r="H149" s="11"/>
      <c r="I149" s="11"/>
      <c r="J149" s="10" t="str">
        <f aca="false">IF(C149="","",N(H149)+N(I149))</f>
        <v/>
      </c>
      <c r="K149" s="10" t="str">
        <f aca="false">IF(C149="","",MIN(J149,پارامترها!$B$3))</f>
        <v/>
      </c>
      <c r="L149" s="10" t="str">
        <f aca="false">IF(C149="","",MAX(0,J149-پارامترها!$B$3))</f>
        <v/>
      </c>
      <c r="M149" s="11"/>
      <c r="N149" s="11"/>
      <c r="O149" s="11"/>
      <c r="P149" s="11"/>
      <c r="Q149" s="11"/>
      <c r="R149" s="12" t="str">
        <f aca="false">IF(OR(C149="",N(J149)=0),"",K149*2*(N(H149)*پارامترها!$B$4+N(I149)*پارامترها!$B$5)/J149)</f>
        <v/>
      </c>
      <c r="S149" s="12" t="str">
        <f aca="false">IF(C149="","",N(M149)*پارامترها!$B$6+N(N149)*پارامترها!$B$7+N(O149)*پارامترها!$B$8)</f>
        <v/>
      </c>
      <c r="T149" s="12" t="str">
        <f aca="false">IF(C149="","",N(R149)+N(S149))</f>
        <v/>
      </c>
      <c r="U149" s="10" t="str">
        <f aca="false">IF(C149="","",IF(P149&lt;&gt;"بله","ثبت نشده در HIS",IF(N(L149)&gt;0,"ثبت‌شده؛ مازاد بر سقف","ثبت‌شده")))</f>
        <v/>
      </c>
      <c r="V149" s="11"/>
    </row>
    <row r="150" customFormat="false" ht="15" hidden="false" customHeight="false" outlineLevel="0" collapsed="false">
      <c r="A150" s="10" t="str">
        <f aca="false">IF(C150="","",ROW()-3)</f>
        <v/>
      </c>
      <c r="B150" s="11"/>
      <c r="C150" s="11"/>
      <c r="D150" s="11"/>
      <c r="E150" s="11"/>
      <c r="F150" s="11"/>
      <c r="G150" s="11"/>
      <c r="H150" s="11"/>
      <c r="I150" s="11"/>
      <c r="J150" s="10" t="str">
        <f aca="false">IF(C150="","",N(H150)+N(I150))</f>
        <v/>
      </c>
      <c r="K150" s="10" t="str">
        <f aca="false">IF(C150="","",MIN(J150,پارامترها!$B$3))</f>
        <v/>
      </c>
      <c r="L150" s="10" t="str">
        <f aca="false">IF(C150="","",MAX(0,J150-پارامترها!$B$3))</f>
        <v/>
      </c>
      <c r="M150" s="11"/>
      <c r="N150" s="11"/>
      <c r="O150" s="11"/>
      <c r="P150" s="11"/>
      <c r="Q150" s="11"/>
      <c r="R150" s="12" t="str">
        <f aca="false">IF(OR(C150="",N(J150)=0),"",K150*2*(N(H150)*پارامترها!$B$4+N(I150)*پارامترها!$B$5)/J150)</f>
        <v/>
      </c>
      <c r="S150" s="12" t="str">
        <f aca="false">IF(C150="","",N(M150)*پارامترها!$B$6+N(N150)*پارامترها!$B$7+N(O150)*پارامترها!$B$8)</f>
        <v/>
      </c>
      <c r="T150" s="12" t="str">
        <f aca="false">IF(C150="","",N(R150)+N(S150))</f>
        <v/>
      </c>
      <c r="U150" s="10" t="str">
        <f aca="false">IF(C150="","",IF(P150&lt;&gt;"بله","ثبت نشده در HIS",IF(N(L150)&gt;0,"ثبت‌شده؛ مازاد بر سقف","ثبت‌شده")))</f>
        <v/>
      </c>
      <c r="V150" s="11"/>
    </row>
    <row r="151" customFormat="false" ht="15" hidden="false" customHeight="false" outlineLevel="0" collapsed="false">
      <c r="A151" s="10" t="str">
        <f aca="false">IF(C151="","",ROW()-3)</f>
        <v/>
      </c>
      <c r="B151" s="11"/>
      <c r="C151" s="11"/>
      <c r="D151" s="11"/>
      <c r="E151" s="11"/>
      <c r="F151" s="11"/>
      <c r="G151" s="11"/>
      <c r="H151" s="11"/>
      <c r="I151" s="11"/>
      <c r="J151" s="10" t="str">
        <f aca="false">IF(C151="","",N(H151)+N(I151))</f>
        <v/>
      </c>
      <c r="K151" s="10" t="str">
        <f aca="false">IF(C151="","",MIN(J151,پارامترها!$B$3))</f>
        <v/>
      </c>
      <c r="L151" s="10" t="str">
        <f aca="false">IF(C151="","",MAX(0,J151-پارامترها!$B$3))</f>
        <v/>
      </c>
      <c r="M151" s="11"/>
      <c r="N151" s="11"/>
      <c r="O151" s="11"/>
      <c r="P151" s="11"/>
      <c r="Q151" s="11"/>
      <c r="R151" s="12" t="str">
        <f aca="false">IF(OR(C151="",N(J151)=0),"",K151*2*(N(H151)*پارامترها!$B$4+N(I151)*پارامترها!$B$5)/J151)</f>
        <v/>
      </c>
      <c r="S151" s="12" t="str">
        <f aca="false">IF(C151="","",N(M151)*پارامترها!$B$6+N(N151)*پارامترها!$B$7+N(O151)*پارامترها!$B$8)</f>
        <v/>
      </c>
      <c r="T151" s="12" t="str">
        <f aca="false">IF(C151="","",N(R151)+N(S151))</f>
        <v/>
      </c>
      <c r="U151" s="10" t="str">
        <f aca="false">IF(C151="","",IF(P151&lt;&gt;"بله","ثبت نشده در HIS",IF(N(L151)&gt;0,"ثبت‌شده؛ مازاد بر سقف","ثبت‌شده")))</f>
        <v/>
      </c>
      <c r="V151" s="11"/>
    </row>
    <row r="152" customFormat="false" ht="15" hidden="false" customHeight="false" outlineLevel="0" collapsed="false">
      <c r="A152" s="10" t="str">
        <f aca="false">IF(C152="","",ROW()-3)</f>
        <v/>
      </c>
      <c r="B152" s="11"/>
      <c r="C152" s="11"/>
      <c r="D152" s="11"/>
      <c r="E152" s="11"/>
      <c r="F152" s="11"/>
      <c r="G152" s="11"/>
      <c r="H152" s="11"/>
      <c r="I152" s="11"/>
      <c r="J152" s="10" t="str">
        <f aca="false">IF(C152="","",N(H152)+N(I152))</f>
        <v/>
      </c>
      <c r="K152" s="10" t="str">
        <f aca="false">IF(C152="","",MIN(J152,پارامترها!$B$3))</f>
        <v/>
      </c>
      <c r="L152" s="10" t="str">
        <f aca="false">IF(C152="","",MAX(0,J152-پارامترها!$B$3))</f>
        <v/>
      </c>
      <c r="M152" s="11"/>
      <c r="N152" s="11"/>
      <c r="O152" s="11"/>
      <c r="P152" s="11"/>
      <c r="Q152" s="11"/>
      <c r="R152" s="12" t="str">
        <f aca="false">IF(OR(C152="",N(J152)=0),"",K152*2*(N(H152)*پارامترها!$B$4+N(I152)*پارامترها!$B$5)/J152)</f>
        <v/>
      </c>
      <c r="S152" s="12" t="str">
        <f aca="false">IF(C152="","",N(M152)*پارامترها!$B$6+N(N152)*پارامترها!$B$7+N(O152)*پارامترها!$B$8)</f>
        <v/>
      </c>
      <c r="T152" s="12" t="str">
        <f aca="false">IF(C152="","",N(R152)+N(S152))</f>
        <v/>
      </c>
      <c r="U152" s="10" t="str">
        <f aca="false">IF(C152="","",IF(P152&lt;&gt;"بله","ثبت نشده در HIS",IF(N(L152)&gt;0,"ثبت‌شده؛ مازاد بر سقف","ثبت‌شده")))</f>
        <v/>
      </c>
      <c r="V152" s="11"/>
    </row>
    <row r="153" customFormat="false" ht="15" hidden="false" customHeight="false" outlineLevel="0" collapsed="false">
      <c r="A153" s="10" t="str">
        <f aca="false">IF(C153="","",ROW()-3)</f>
        <v/>
      </c>
      <c r="B153" s="11"/>
      <c r="C153" s="11"/>
      <c r="D153" s="11"/>
      <c r="E153" s="11"/>
      <c r="F153" s="11"/>
      <c r="G153" s="11"/>
      <c r="H153" s="11"/>
      <c r="I153" s="11"/>
      <c r="J153" s="10" t="str">
        <f aca="false">IF(C153="","",N(H153)+N(I153))</f>
        <v/>
      </c>
      <c r="K153" s="10" t="str">
        <f aca="false">IF(C153="","",MIN(J153,پارامترها!$B$3))</f>
        <v/>
      </c>
      <c r="L153" s="10" t="str">
        <f aca="false">IF(C153="","",MAX(0,J153-پارامترها!$B$3))</f>
        <v/>
      </c>
      <c r="M153" s="11"/>
      <c r="N153" s="11"/>
      <c r="O153" s="11"/>
      <c r="P153" s="11"/>
      <c r="Q153" s="11"/>
      <c r="R153" s="12" t="str">
        <f aca="false">IF(OR(C153="",N(J153)=0),"",K153*2*(N(H153)*پارامترها!$B$4+N(I153)*پارامترها!$B$5)/J153)</f>
        <v/>
      </c>
      <c r="S153" s="12" t="str">
        <f aca="false">IF(C153="","",N(M153)*پارامترها!$B$6+N(N153)*پارامترها!$B$7+N(O153)*پارامترها!$B$8)</f>
        <v/>
      </c>
      <c r="T153" s="12" t="str">
        <f aca="false">IF(C153="","",N(R153)+N(S153))</f>
        <v/>
      </c>
      <c r="U153" s="10" t="str">
        <f aca="false">IF(C153="","",IF(P153&lt;&gt;"بله","ثبت نشده در HIS",IF(N(L153)&gt;0,"ثبت‌شده؛ مازاد بر سقف","ثبت‌شده")))</f>
        <v/>
      </c>
      <c r="V153" s="11"/>
    </row>
    <row r="154" customFormat="false" ht="15" hidden="false" customHeight="false" outlineLevel="0" collapsed="false">
      <c r="A154" s="10" t="str">
        <f aca="false">IF(C154="","",ROW()-3)</f>
        <v/>
      </c>
      <c r="B154" s="11"/>
      <c r="C154" s="11"/>
      <c r="D154" s="11"/>
      <c r="E154" s="11"/>
      <c r="F154" s="11"/>
      <c r="G154" s="11"/>
      <c r="H154" s="11"/>
      <c r="I154" s="11"/>
      <c r="J154" s="10" t="str">
        <f aca="false">IF(C154="","",N(H154)+N(I154))</f>
        <v/>
      </c>
      <c r="K154" s="10" t="str">
        <f aca="false">IF(C154="","",MIN(J154,پارامترها!$B$3))</f>
        <v/>
      </c>
      <c r="L154" s="10" t="str">
        <f aca="false">IF(C154="","",MAX(0,J154-پارامترها!$B$3))</f>
        <v/>
      </c>
      <c r="M154" s="11"/>
      <c r="N154" s="11"/>
      <c r="O154" s="11"/>
      <c r="P154" s="11"/>
      <c r="Q154" s="11"/>
      <c r="R154" s="12" t="str">
        <f aca="false">IF(OR(C154="",N(J154)=0),"",K154*2*(N(H154)*پارامترها!$B$4+N(I154)*پارامترها!$B$5)/J154)</f>
        <v/>
      </c>
      <c r="S154" s="12" t="str">
        <f aca="false">IF(C154="","",N(M154)*پارامترها!$B$6+N(N154)*پارامترها!$B$7+N(O154)*پارامترها!$B$8)</f>
        <v/>
      </c>
      <c r="T154" s="12" t="str">
        <f aca="false">IF(C154="","",N(R154)+N(S154))</f>
        <v/>
      </c>
      <c r="U154" s="10" t="str">
        <f aca="false">IF(C154="","",IF(P154&lt;&gt;"بله","ثبت نشده در HIS",IF(N(L154)&gt;0,"ثبت‌شده؛ مازاد بر سقف","ثبت‌شده")))</f>
        <v/>
      </c>
      <c r="V154" s="11"/>
    </row>
    <row r="155" customFormat="false" ht="15" hidden="false" customHeight="false" outlineLevel="0" collapsed="false">
      <c r="A155" s="10" t="str">
        <f aca="false">IF(C155="","",ROW()-3)</f>
        <v/>
      </c>
      <c r="B155" s="11"/>
      <c r="C155" s="11"/>
      <c r="D155" s="11"/>
      <c r="E155" s="11"/>
      <c r="F155" s="11"/>
      <c r="G155" s="11"/>
      <c r="H155" s="11"/>
      <c r="I155" s="11"/>
      <c r="J155" s="10" t="str">
        <f aca="false">IF(C155="","",N(H155)+N(I155))</f>
        <v/>
      </c>
      <c r="K155" s="10" t="str">
        <f aca="false">IF(C155="","",MIN(J155,پارامترها!$B$3))</f>
        <v/>
      </c>
      <c r="L155" s="10" t="str">
        <f aca="false">IF(C155="","",MAX(0,J155-پارامترها!$B$3))</f>
        <v/>
      </c>
      <c r="M155" s="11"/>
      <c r="N155" s="11"/>
      <c r="O155" s="11"/>
      <c r="P155" s="11"/>
      <c r="Q155" s="11"/>
      <c r="R155" s="12" t="str">
        <f aca="false">IF(OR(C155="",N(J155)=0),"",K155*2*(N(H155)*پارامترها!$B$4+N(I155)*پارامترها!$B$5)/J155)</f>
        <v/>
      </c>
      <c r="S155" s="12" t="str">
        <f aca="false">IF(C155="","",N(M155)*پارامترها!$B$6+N(N155)*پارامترها!$B$7+N(O155)*پارامترها!$B$8)</f>
        <v/>
      </c>
      <c r="T155" s="12" t="str">
        <f aca="false">IF(C155="","",N(R155)+N(S155))</f>
        <v/>
      </c>
      <c r="U155" s="10" t="str">
        <f aca="false">IF(C155="","",IF(P155&lt;&gt;"بله","ثبت نشده در HIS",IF(N(L155)&gt;0,"ثبت‌شده؛ مازاد بر سقف","ثبت‌شده")))</f>
        <v/>
      </c>
      <c r="V155" s="11"/>
    </row>
    <row r="156" customFormat="false" ht="15" hidden="false" customHeight="false" outlineLevel="0" collapsed="false">
      <c r="A156" s="10" t="str">
        <f aca="false">IF(C156="","",ROW()-3)</f>
        <v/>
      </c>
      <c r="B156" s="11"/>
      <c r="C156" s="11"/>
      <c r="D156" s="11"/>
      <c r="E156" s="11"/>
      <c r="F156" s="11"/>
      <c r="G156" s="11"/>
      <c r="H156" s="11"/>
      <c r="I156" s="11"/>
      <c r="J156" s="10" t="str">
        <f aca="false">IF(C156="","",N(H156)+N(I156))</f>
        <v/>
      </c>
      <c r="K156" s="10" t="str">
        <f aca="false">IF(C156="","",MIN(J156,پارامترها!$B$3))</f>
        <v/>
      </c>
      <c r="L156" s="10" t="str">
        <f aca="false">IF(C156="","",MAX(0,J156-پارامترها!$B$3))</f>
        <v/>
      </c>
      <c r="M156" s="11"/>
      <c r="N156" s="11"/>
      <c r="O156" s="11"/>
      <c r="P156" s="11"/>
      <c r="Q156" s="11"/>
      <c r="R156" s="12" t="str">
        <f aca="false">IF(OR(C156="",N(J156)=0),"",K156*2*(N(H156)*پارامترها!$B$4+N(I156)*پارامترها!$B$5)/J156)</f>
        <v/>
      </c>
      <c r="S156" s="12" t="str">
        <f aca="false">IF(C156="","",N(M156)*پارامترها!$B$6+N(N156)*پارامترها!$B$7+N(O156)*پارامترها!$B$8)</f>
        <v/>
      </c>
      <c r="T156" s="12" t="str">
        <f aca="false">IF(C156="","",N(R156)+N(S156))</f>
        <v/>
      </c>
      <c r="U156" s="10" t="str">
        <f aca="false">IF(C156="","",IF(P156&lt;&gt;"بله","ثبت نشده در HIS",IF(N(L156)&gt;0,"ثبت‌شده؛ مازاد بر سقف","ثبت‌شده")))</f>
        <v/>
      </c>
      <c r="V156" s="11"/>
    </row>
    <row r="157" customFormat="false" ht="15" hidden="false" customHeight="false" outlineLevel="0" collapsed="false">
      <c r="A157" s="10" t="str">
        <f aca="false">IF(C157="","",ROW()-3)</f>
        <v/>
      </c>
      <c r="B157" s="11"/>
      <c r="C157" s="11"/>
      <c r="D157" s="11"/>
      <c r="E157" s="11"/>
      <c r="F157" s="11"/>
      <c r="G157" s="11"/>
      <c r="H157" s="11"/>
      <c r="I157" s="11"/>
      <c r="J157" s="10" t="str">
        <f aca="false">IF(C157="","",N(H157)+N(I157))</f>
        <v/>
      </c>
      <c r="K157" s="10" t="str">
        <f aca="false">IF(C157="","",MIN(J157,پارامترها!$B$3))</f>
        <v/>
      </c>
      <c r="L157" s="10" t="str">
        <f aca="false">IF(C157="","",MAX(0,J157-پارامترها!$B$3))</f>
        <v/>
      </c>
      <c r="M157" s="11"/>
      <c r="N157" s="11"/>
      <c r="O157" s="11"/>
      <c r="P157" s="11"/>
      <c r="Q157" s="11"/>
      <c r="R157" s="12" t="str">
        <f aca="false">IF(OR(C157="",N(J157)=0),"",K157*2*(N(H157)*پارامترها!$B$4+N(I157)*پارامترها!$B$5)/J157)</f>
        <v/>
      </c>
      <c r="S157" s="12" t="str">
        <f aca="false">IF(C157="","",N(M157)*پارامترها!$B$6+N(N157)*پارامترها!$B$7+N(O157)*پارامترها!$B$8)</f>
        <v/>
      </c>
      <c r="T157" s="12" t="str">
        <f aca="false">IF(C157="","",N(R157)+N(S157))</f>
        <v/>
      </c>
      <c r="U157" s="10" t="str">
        <f aca="false">IF(C157="","",IF(P157&lt;&gt;"بله","ثبت نشده در HIS",IF(N(L157)&gt;0,"ثبت‌شده؛ مازاد بر سقف","ثبت‌شده")))</f>
        <v/>
      </c>
      <c r="V157" s="11"/>
    </row>
    <row r="158" customFormat="false" ht="15" hidden="false" customHeight="false" outlineLevel="0" collapsed="false">
      <c r="A158" s="10" t="str">
        <f aca="false">IF(C158="","",ROW()-3)</f>
        <v/>
      </c>
      <c r="B158" s="11"/>
      <c r="C158" s="11"/>
      <c r="D158" s="11"/>
      <c r="E158" s="11"/>
      <c r="F158" s="11"/>
      <c r="G158" s="11"/>
      <c r="H158" s="11"/>
      <c r="I158" s="11"/>
      <c r="J158" s="10" t="str">
        <f aca="false">IF(C158="","",N(H158)+N(I158))</f>
        <v/>
      </c>
      <c r="K158" s="10" t="str">
        <f aca="false">IF(C158="","",MIN(J158,پارامترها!$B$3))</f>
        <v/>
      </c>
      <c r="L158" s="10" t="str">
        <f aca="false">IF(C158="","",MAX(0,J158-پارامترها!$B$3))</f>
        <v/>
      </c>
      <c r="M158" s="11"/>
      <c r="N158" s="11"/>
      <c r="O158" s="11"/>
      <c r="P158" s="11"/>
      <c r="Q158" s="11"/>
      <c r="R158" s="12" t="str">
        <f aca="false">IF(OR(C158="",N(J158)=0),"",K158*2*(N(H158)*پارامترها!$B$4+N(I158)*پارامترها!$B$5)/J158)</f>
        <v/>
      </c>
      <c r="S158" s="12" t="str">
        <f aca="false">IF(C158="","",N(M158)*پارامترها!$B$6+N(N158)*پارامترها!$B$7+N(O158)*پارامترها!$B$8)</f>
        <v/>
      </c>
      <c r="T158" s="12" t="str">
        <f aca="false">IF(C158="","",N(R158)+N(S158))</f>
        <v/>
      </c>
      <c r="U158" s="10" t="str">
        <f aca="false">IF(C158="","",IF(P158&lt;&gt;"بله","ثبت نشده در HIS",IF(N(L158)&gt;0,"ثبت‌شده؛ مازاد بر سقف","ثبت‌شده")))</f>
        <v/>
      </c>
      <c r="V158" s="11"/>
    </row>
    <row r="159" customFormat="false" ht="15" hidden="false" customHeight="false" outlineLevel="0" collapsed="false">
      <c r="A159" s="10" t="str">
        <f aca="false">IF(C159="","",ROW()-3)</f>
        <v/>
      </c>
      <c r="B159" s="11"/>
      <c r="C159" s="11"/>
      <c r="D159" s="11"/>
      <c r="E159" s="11"/>
      <c r="F159" s="11"/>
      <c r="G159" s="11"/>
      <c r="H159" s="11"/>
      <c r="I159" s="11"/>
      <c r="J159" s="10" t="str">
        <f aca="false">IF(C159="","",N(H159)+N(I159))</f>
        <v/>
      </c>
      <c r="K159" s="10" t="str">
        <f aca="false">IF(C159="","",MIN(J159,پارامترها!$B$3))</f>
        <v/>
      </c>
      <c r="L159" s="10" t="str">
        <f aca="false">IF(C159="","",MAX(0,J159-پارامترها!$B$3))</f>
        <v/>
      </c>
      <c r="M159" s="11"/>
      <c r="N159" s="11"/>
      <c r="O159" s="11"/>
      <c r="P159" s="11"/>
      <c r="Q159" s="11"/>
      <c r="R159" s="12" t="str">
        <f aca="false">IF(OR(C159="",N(J159)=0),"",K159*2*(N(H159)*پارامترها!$B$4+N(I159)*پارامترها!$B$5)/J159)</f>
        <v/>
      </c>
      <c r="S159" s="12" t="str">
        <f aca="false">IF(C159="","",N(M159)*پارامترها!$B$6+N(N159)*پارامترها!$B$7+N(O159)*پارامترها!$B$8)</f>
        <v/>
      </c>
      <c r="T159" s="12" t="str">
        <f aca="false">IF(C159="","",N(R159)+N(S159))</f>
        <v/>
      </c>
      <c r="U159" s="10" t="str">
        <f aca="false">IF(C159="","",IF(P159&lt;&gt;"بله","ثبت نشده در HIS",IF(N(L159)&gt;0,"ثبت‌شده؛ مازاد بر سقف","ثبت‌شده")))</f>
        <v/>
      </c>
      <c r="V159" s="11"/>
    </row>
    <row r="160" customFormat="false" ht="15" hidden="false" customHeight="false" outlineLevel="0" collapsed="false">
      <c r="A160" s="10" t="str">
        <f aca="false">IF(C160="","",ROW()-3)</f>
        <v/>
      </c>
      <c r="B160" s="11"/>
      <c r="C160" s="11"/>
      <c r="D160" s="11"/>
      <c r="E160" s="11"/>
      <c r="F160" s="11"/>
      <c r="G160" s="11"/>
      <c r="H160" s="11"/>
      <c r="I160" s="11"/>
      <c r="J160" s="10" t="str">
        <f aca="false">IF(C160="","",N(H160)+N(I160))</f>
        <v/>
      </c>
      <c r="K160" s="10" t="str">
        <f aca="false">IF(C160="","",MIN(J160,پارامترها!$B$3))</f>
        <v/>
      </c>
      <c r="L160" s="10" t="str">
        <f aca="false">IF(C160="","",MAX(0,J160-پارامترها!$B$3))</f>
        <v/>
      </c>
      <c r="M160" s="11"/>
      <c r="N160" s="11"/>
      <c r="O160" s="11"/>
      <c r="P160" s="11"/>
      <c r="Q160" s="11"/>
      <c r="R160" s="12" t="str">
        <f aca="false">IF(OR(C160="",N(J160)=0),"",K160*2*(N(H160)*پارامترها!$B$4+N(I160)*پارامترها!$B$5)/J160)</f>
        <v/>
      </c>
      <c r="S160" s="12" t="str">
        <f aca="false">IF(C160="","",N(M160)*پارامترها!$B$6+N(N160)*پارامترها!$B$7+N(O160)*پارامترها!$B$8)</f>
        <v/>
      </c>
      <c r="T160" s="12" t="str">
        <f aca="false">IF(C160="","",N(R160)+N(S160))</f>
        <v/>
      </c>
      <c r="U160" s="10" t="str">
        <f aca="false">IF(C160="","",IF(P160&lt;&gt;"بله","ثبت نشده در HIS",IF(N(L160)&gt;0,"ثبت‌شده؛ مازاد بر سقف","ثبت‌شده")))</f>
        <v/>
      </c>
      <c r="V160" s="11"/>
    </row>
    <row r="161" customFormat="false" ht="15" hidden="false" customHeight="false" outlineLevel="0" collapsed="false">
      <c r="A161" s="10" t="str">
        <f aca="false">IF(C161="","",ROW()-3)</f>
        <v/>
      </c>
      <c r="B161" s="11"/>
      <c r="C161" s="11"/>
      <c r="D161" s="11"/>
      <c r="E161" s="11"/>
      <c r="F161" s="11"/>
      <c r="G161" s="11"/>
      <c r="H161" s="11"/>
      <c r="I161" s="11"/>
      <c r="J161" s="10" t="str">
        <f aca="false">IF(C161="","",N(H161)+N(I161))</f>
        <v/>
      </c>
      <c r="K161" s="10" t="str">
        <f aca="false">IF(C161="","",MIN(J161,پارامترها!$B$3))</f>
        <v/>
      </c>
      <c r="L161" s="10" t="str">
        <f aca="false">IF(C161="","",MAX(0,J161-پارامترها!$B$3))</f>
        <v/>
      </c>
      <c r="M161" s="11"/>
      <c r="N161" s="11"/>
      <c r="O161" s="11"/>
      <c r="P161" s="11"/>
      <c r="Q161" s="11"/>
      <c r="R161" s="12" t="str">
        <f aca="false">IF(OR(C161="",N(J161)=0),"",K161*2*(N(H161)*پارامترها!$B$4+N(I161)*پارامترها!$B$5)/J161)</f>
        <v/>
      </c>
      <c r="S161" s="12" t="str">
        <f aca="false">IF(C161="","",N(M161)*پارامترها!$B$6+N(N161)*پارامترها!$B$7+N(O161)*پارامترها!$B$8)</f>
        <v/>
      </c>
      <c r="T161" s="12" t="str">
        <f aca="false">IF(C161="","",N(R161)+N(S161))</f>
        <v/>
      </c>
      <c r="U161" s="10" t="str">
        <f aca="false">IF(C161="","",IF(P161&lt;&gt;"بله","ثبت نشده در HIS",IF(N(L161)&gt;0,"ثبت‌شده؛ مازاد بر سقف","ثبت‌شده")))</f>
        <v/>
      </c>
      <c r="V161" s="11"/>
    </row>
    <row r="162" customFormat="false" ht="15" hidden="false" customHeight="false" outlineLevel="0" collapsed="false">
      <c r="A162" s="10" t="str">
        <f aca="false">IF(C162="","",ROW()-3)</f>
        <v/>
      </c>
      <c r="B162" s="11"/>
      <c r="C162" s="11"/>
      <c r="D162" s="11"/>
      <c r="E162" s="11"/>
      <c r="F162" s="11"/>
      <c r="G162" s="11"/>
      <c r="H162" s="11"/>
      <c r="I162" s="11"/>
      <c r="J162" s="10" t="str">
        <f aca="false">IF(C162="","",N(H162)+N(I162))</f>
        <v/>
      </c>
      <c r="K162" s="10" t="str">
        <f aca="false">IF(C162="","",MIN(J162,پارامترها!$B$3))</f>
        <v/>
      </c>
      <c r="L162" s="10" t="str">
        <f aca="false">IF(C162="","",MAX(0,J162-پارامترها!$B$3))</f>
        <v/>
      </c>
      <c r="M162" s="11"/>
      <c r="N162" s="11"/>
      <c r="O162" s="11"/>
      <c r="P162" s="11"/>
      <c r="Q162" s="11"/>
      <c r="R162" s="12" t="str">
        <f aca="false">IF(OR(C162="",N(J162)=0),"",K162*2*(N(H162)*پارامترها!$B$4+N(I162)*پارامترها!$B$5)/J162)</f>
        <v/>
      </c>
      <c r="S162" s="12" t="str">
        <f aca="false">IF(C162="","",N(M162)*پارامترها!$B$6+N(N162)*پارامترها!$B$7+N(O162)*پارامترها!$B$8)</f>
        <v/>
      </c>
      <c r="T162" s="12" t="str">
        <f aca="false">IF(C162="","",N(R162)+N(S162))</f>
        <v/>
      </c>
      <c r="U162" s="10" t="str">
        <f aca="false">IF(C162="","",IF(P162&lt;&gt;"بله","ثبت نشده در HIS",IF(N(L162)&gt;0,"ثبت‌شده؛ مازاد بر سقف","ثبت‌شده")))</f>
        <v/>
      </c>
      <c r="V162" s="11"/>
    </row>
    <row r="163" customFormat="false" ht="15" hidden="false" customHeight="false" outlineLevel="0" collapsed="false">
      <c r="A163" s="10" t="str">
        <f aca="false">IF(C163="","",ROW()-3)</f>
        <v/>
      </c>
      <c r="B163" s="11"/>
      <c r="C163" s="11"/>
      <c r="D163" s="11"/>
      <c r="E163" s="11"/>
      <c r="F163" s="11"/>
      <c r="G163" s="11"/>
      <c r="H163" s="11"/>
      <c r="I163" s="11"/>
      <c r="J163" s="10" t="str">
        <f aca="false">IF(C163="","",N(H163)+N(I163))</f>
        <v/>
      </c>
      <c r="K163" s="10" t="str">
        <f aca="false">IF(C163="","",MIN(J163,پارامترها!$B$3))</f>
        <v/>
      </c>
      <c r="L163" s="10" t="str">
        <f aca="false">IF(C163="","",MAX(0,J163-پارامترها!$B$3))</f>
        <v/>
      </c>
      <c r="M163" s="11"/>
      <c r="N163" s="11"/>
      <c r="O163" s="11"/>
      <c r="P163" s="11"/>
      <c r="Q163" s="11"/>
      <c r="R163" s="12" t="str">
        <f aca="false">IF(OR(C163="",N(J163)=0),"",K163*2*(N(H163)*پارامترها!$B$4+N(I163)*پارامترها!$B$5)/J163)</f>
        <v/>
      </c>
      <c r="S163" s="12" t="str">
        <f aca="false">IF(C163="","",N(M163)*پارامترها!$B$6+N(N163)*پارامترها!$B$7+N(O163)*پارامترها!$B$8)</f>
        <v/>
      </c>
      <c r="T163" s="12" t="str">
        <f aca="false">IF(C163="","",N(R163)+N(S163))</f>
        <v/>
      </c>
      <c r="U163" s="10" t="str">
        <f aca="false">IF(C163="","",IF(P163&lt;&gt;"بله","ثبت نشده در HIS",IF(N(L163)&gt;0,"ثبت‌شده؛ مازاد بر سقف","ثبت‌شده")))</f>
        <v/>
      </c>
      <c r="V163" s="11"/>
    </row>
    <row r="164" customFormat="false" ht="15" hidden="false" customHeight="false" outlineLevel="0" collapsed="false">
      <c r="A164" s="10" t="str">
        <f aca="false">IF(C164="","",ROW()-3)</f>
        <v/>
      </c>
      <c r="B164" s="11"/>
      <c r="C164" s="11"/>
      <c r="D164" s="11"/>
      <c r="E164" s="11"/>
      <c r="F164" s="11"/>
      <c r="G164" s="11"/>
      <c r="H164" s="11"/>
      <c r="I164" s="11"/>
      <c r="J164" s="10" t="str">
        <f aca="false">IF(C164="","",N(H164)+N(I164))</f>
        <v/>
      </c>
      <c r="K164" s="10" t="str">
        <f aca="false">IF(C164="","",MIN(J164,پارامترها!$B$3))</f>
        <v/>
      </c>
      <c r="L164" s="10" t="str">
        <f aca="false">IF(C164="","",MAX(0,J164-پارامترها!$B$3))</f>
        <v/>
      </c>
      <c r="M164" s="11"/>
      <c r="N164" s="11"/>
      <c r="O164" s="11"/>
      <c r="P164" s="11"/>
      <c r="Q164" s="11"/>
      <c r="R164" s="12" t="str">
        <f aca="false">IF(OR(C164="",N(J164)=0),"",K164*2*(N(H164)*پارامترها!$B$4+N(I164)*پارامترها!$B$5)/J164)</f>
        <v/>
      </c>
      <c r="S164" s="12" t="str">
        <f aca="false">IF(C164="","",N(M164)*پارامترها!$B$6+N(N164)*پارامترها!$B$7+N(O164)*پارامترها!$B$8)</f>
        <v/>
      </c>
      <c r="T164" s="12" t="str">
        <f aca="false">IF(C164="","",N(R164)+N(S164))</f>
        <v/>
      </c>
      <c r="U164" s="10" t="str">
        <f aca="false">IF(C164="","",IF(P164&lt;&gt;"بله","ثبت نشده در HIS",IF(N(L164)&gt;0,"ثبت‌شده؛ مازاد بر سقف","ثبت‌شده")))</f>
        <v/>
      </c>
      <c r="V164" s="11"/>
    </row>
    <row r="165" customFormat="false" ht="15" hidden="false" customHeight="false" outlineLevel="0" collapsed="false">
      <c r="A165" s="10" t="str">
        <f aca="false">IF(C165="","",ROW()-3)</f>
        <v/>
      </c>
      <c r="B165" s="11"/>
      <c r="C165" s="11"/>
      <c r="D165" s="11"/>
      <c r="E165" s="11"/>
      <c r="F165" s="11"/>
      <c r="G165" s="11"/>
      <c r="H165" s="11"/>
      <c r="I165" s="11"/>
      <c r="J165" s="10" t="str">
        <f aca="false">IF(C165="","",N(H165)+N(I165))</f>
        <v/>
      </c>
      <c r="K165" s="10" t="str">
        <f aca="false">IF(C165="","",MIN(J165,پارامترها!$B$3))</f>
        <v/>
      </c>
      <c r="L165" s="10" t="str">
        <f aca="false">IF(C165="","",MAX(0,J165-پارامترها!$B$3))</f>
        <v/>
      </c>
      <c r="M165" s="11"/>
      <c r="N165" s="11"/>
      <c r="O165" s="11"/>
      <c r="P165" s="11"/>
      <c r="Q165" s="11"/>
      <c r="R165" s="12" t="str">
        <f aca="false">IF(OR(C165="",N(J165)=0),"",K165*2*(N(H165)*پارامترها!$B$4+N(I165)*پارامترها!$B$5)/J165)</f>
        <v/>
      </c>
      <c r="S165" s="12" t="str">
        <f aca="false">IF(C165="","",N(M165)*پارامترها!$B$6+N(N165)*پارامترها!$B$7+N(O165)*پارامترها!$B$8)</f>
        <v/>
      </c>
      <c r="T165" s="12" t="str">
        <f aca="false">IF(C165="","",N(R165)+N(S165))</f>
        <v/>
      </c>
      <c r="U165" s="10" t="str">
        <f aca="false">IF(C165="","",IF(P165&lt;&gt;"بله","ثبت نشده در HIS",IF(N(L165)&gt;0,"ثبت‌شده؛ مازاد بر سقف","ثبت‌شده")))</f>
        <v/>
      </c>
      <c r="V165" s="11"/>
    </row>
    <row r="166" customFormat="false" ht="15" hidden="false" customHeight="false" outlineLevel="0" collapsed="false">
      <c r="A166" s="10" t="str">
        <f aca="false">IF(C166="","",ROW()-3)</f>
        <v/>
      </c>
      <c r="B166" s="11"/>
      <c r="C166" s="11"/>
      <c r="D166" s="11"/>
      <c r="E166" s="11"/>
      <c r="F166" s="11"/>
      <c r="G166" s="11"/>
      <c r="H166" s="11"/>
      <c r="I166" s="11"/>
      <c r="J166" s="10" t="str">
        <f aca="false">IF(C166="","",N(H166)+N(I166))</f>
        <v/>
      </c>
      <c r="K166" s="10" t="str">
        <f aca="false">IF(C166="","",MIN(J166,پارامترها!$B$3))</f>
        <v/>
      </c>
      <c r="L166" s="10" t="str">
        <f aca="false">IF(C166="","",MAX(0,J166-پارامترها!$B$3))</f>
        <v/>
      </c>
      <c r="M166" s="11"/>
      <c r="N166" s="11"/>
      <c r="O166" s="11"/>
      <c r="P166" s="11"/>
      <c r="Q166" s="11"/>
      <c r="R166" s="12" t="str">
        <f aca="false">IF(OR(C166="",N(J166)=0),"",K166*2*(N(H166)*پارامترها!$B$4+N(I166)*پارامترها!$B$5)/J166)</f>
        <v/>
      </c>
      <c r="S166" s="12" t="str">
        <f aca="false">IF(C166="","",N(M166)*پارامترها!$B$6+N(N166)*پارامترها!$B$7+N(O166)*پارامترها!$B$8)</f>
        <v/>
      </c>
      <c r="T166" s="12" t="str">
        <f aca="false">IF(C166="","",N(R166)+N(S166))</f>
        <v/>
      </c>
      <c r="U166" s="10" t="str">
        <f aca="false">IF(C166="","",IF(P166&lt;&gt;"بله","ثبت نشده در HIS",IF(N(L166)&gt;0,"ثبت‌شده؛ مازاد بر سقف","ثبت‌شده")))</f>
        <v/>
      </c>
      <c r="V166" s="11"/>
    </row>
    <row r="167" customFormat="false" ht="15" hidden="false" customHeight="false" outlineLevel="0" collapsed="false">
      <c r="A167" s="10" t="str">
        <f aca="false">IF(C167="","",ROW()-3)</f>
        <v/>
      </c>
      <c r="B167" s="11"/>
      <c r="C167" s="11"/>
      <c r="D167" s="11"/>
      <c r="E167" s="11"/>
      <c r="F167" s="11"/>
      <c r="G167" s="11"/>
      <c r="H167" s="11"/>
      <c r="I167" s="11"/>
      <c r="J167" s="10" t="str">
        <f aca="false">IF(C167="","",N(H167)+N(I167))</f>
        <v/>
      </c>
      <c r="K167" s="10" t="str">
        <f aca="false">IF(C167="","",MIN(J167,پارامترها!$B$3))</f>
        <v/>
      </c>
      <c r="L167" s="10" t="str">
        <f aca="false">IF(C167="","",MAX(0,J167-پارامترها!$B$3))</f>
        <v/>
      </c>
      <c r="M167" s="11"/>
      <c r="N167" s="11"/>
      <c r="O167" s="11"/>
      <c r="P167" s="11"/>
      <c r="Q167" s="11"/>
      <c r="R167" s="12" t="str">
        <f aca="false">IF(OR(C167="",N(J167)=0),"",K167*2*(N(H167)*پارامترها!$B$4+N(I167)*پارامترها!$B$5)/J167)</f>
        <v/>
      </c>
      <c r="S167" s="12" t="str">
        <f aca="false">IF(C167="","",N(M167)*پارامترها!$B$6+N(N167)*پارامترها!$B$7+N(O167)*پارامترها!$B$8)</f>
        <v/>
      </c>
      <c r="T167" s="12" t="str">
        <f aca="false">IF(C167="","",N(R167)+N(S167))</f>
        <v/>
      </c>
      <c r="U167" s="10" t="str">
        <f aca="false">IF(C167="","",IF(P167&lt;&gt;"بله","ثبت نشده در HIS",IF(N(L167)&gt;0,"ثبت‌شده؛ مازاد بر سقف","ثبت‌شده")))</f>
        <v/>
      </c>
      <c r="V167" s="11"/>
    </row>
    <row r="168" customFormat="false" ht="15" hidden="false" customHeight="false" outlineLevel="0" collapsed="false">
      <c r="A168" s="10" t="str">
        <f aca="false">IF(C168="","",ROW()-3)</f>
        <v/>
      </c>
      <c r="B168" s="11"/>
      <c r="C168" s="11"/>
      <c r="D168" s="11"/>
      <c r="E168" s="11"/>
      <c r="F168" s="11"/>
      <c r="G168" s="11"/>
      <c r="H168" s="11"/>
      <c r="I168" s="11"/>
      <c r="J168" s="10" t="str">
        <f aca="false">IF(C168="","",N(H168)+N(I168))</f>
        <v/>
      </c>
      <c r="K168" s="10" t="str">
        <f aca="false">IF(C168="","",MIN(J168,پارامترها!$B$3))</f>
        <v/>
      </c>
      <c r="L168" s="10" t="str">
        <f aca="false">IF(C168="","",MAX(0,J168-پارامترها!$B$3))</f>
        <v/>
      </c>
      <c r="M168" s="11"/>
      <c r="N168" s="11"/>
      <c r="O168" s="11"/>
      <c r="P168" s="11"/>
      <c r="Q168" s="11"/>
      <c r="R168" s="12" t="str">
        <f aca="false">IF(OR(C168="",N(J168)=0),"",K168*2*(N(H168)*پارامترها!$B$4+N(I168)*پارامترها!$B$5)/J168)</f>
        <v/>
      </c>
      <c r="S168" s="12" t="str">
        <f aca="false">IF(C168="","",N(M168)*پارامترها!$B$6+N(N168)*پارامترها!$B$7+N(O168)*پارامترها!$B$8)</f>
        <v/>
      </c>
      <c r="T168" s="12" t="str">
        <f aca="false">IF(C168="","",N(R168)+N(S168))</f>
        <v/>
      </c>
      <c r="U168" s="10" t="str">
        <f aca="false">IF(C168="","",IF(P168&lt;&gt;"بله","ثبت نشده در HIS",IF(N(L168)&gt;0,"ثبت‌شده؛ مازاد بر سقف","ثبت‌شده")))</f>
        <v/>
      </c>
      <c r="V168" s="11"/>
    </row>
    <row r="169" customFormat="false" ht="15" hidden="false" customHeight="false" outlineLevel="0" collapsed="false">
      <c r="A169" s="10" t="str">
        <f aca="false">IF(C169="","",ROW()-3)</f>
        <v/>
      </c>
      <c r="B169" s="11"/>
      <c r="C169" s="11"/>
      <c r="D169" s="11"/>
      <c r="E169" s="11"/>
      <c r="F169" s="11"/>
      <c r="G169" s="11"/>
      <c r="H169" s="11"/>
      <c r="I169" s="11"/>
      <c r="J169" s="10" t="str">
        <f aca="false">IF(C169="","",N(H169)+N(I169))</f>
        <v/>
      </c>
      <c r="K169" s="10" t="str">
        <f aca="false">IF(C169="","",MIN(J169,پارامترها!$B$3))</f>
        <v/>
      </c>
      <c r="L169" s="10" t="str">
        <f aca="false">IF(C169="","",MAX(0,J169-پارامترها!$B$3))</f>
        <v/>
      </c>
      <c r="M169" s="11"/>
      <c r="N169" s="11"/>
      <c r="O169" s="11"/>
      <c r="P169" s="11"/>
      <c r="Q169" s="11"/>
      <c r="R169" s="12" t="str">
        <f aca="false">IF(OR(C169="",N(J169)=0),"",K169*2*(N(H169)*پارامترها!$B$4+N(I169)*پارامترها!$B$5)/J169)</f>
        <v/>
      </c>
      <c r="S169" s="12" t="str">
        <f aca="false">IF(C169="","",N(M169)*پارامترها!$B$6+N(N169)*پارامترها!$B$7+N(O169)*پارامترها!$B$8)</f>
        <v/>
      </c>
      <c r="T169" s="12" t="str">
        <f aca="false">IF(C169="","",N(R169)+N(S169))</f>
        <v/>
      </c>
      <c r="U169" s="10" t="str">
        <f aca="false">IF(C169="","",IF(P169&lt;&gt;"بله","ثبت نشده در HIS",IF(N(L169)&gt;0,"ثبت‌شده؛ مازاد بر سقف","ثبت‌شده")))</f>
        <v/>
      </c>
      <c r="V169" s="11"/>
    </row>
    <row r="170" customFormat="false" ht="15" hidden="false" customHeight="false" outlineLevel="0" collapsed="false">
      <c r="A170" s="10" t="str">
        <f aca="false">IF(C170="","",ROW()-3)</f>
        <v/>
      </c>
      <c r="B170" s="11"/>
      <c r="C170" s="11"/>
      <c r="D170" s="11"/>
      <c r="E170" s="11"/>
      <c r="F170" s="11"/>
      <c r="G170" s="11"/>
      <c r="H170" s="11"/>
      <c r="I170" s="11"/>
      <c r="J170" s="10" t="str">
        <f aca="false">IF(C170="","",N(H170)+N(I170))</f>
        <v/>
      </c>
      <c r="K170" s="10" t="str">
        <f aca="false">IF(C170="","",MIN(J170,پارامترها!$B$3))</f>
        <v/>
      </c>
      <c r="L170" s="10" t="str">
        <f aca="false">IF(C170="","",MAX(0,J170-پارامترها!$B$3))</f>
        <v/>
      </c>
      <c r="M170" s="11"/>
      <c r="N170" s="11"/>
      <c r="O170" s="11"/>
      <c r="P170" s="11"/>
      <c r="Q170" s="11"/>
      <c r="R170" s="12" t="str">
        <f aca="false">IF(OR(C170="",N(J170)=0),"",K170*2*(N(H170)*پارامترها!$B$4+N(I170)*پارامترها!$B$5)/J170)</f>
        <v/>
      </c>
      <c r="S170" s="12" t="str">
        <f aca="false">IF(C170="","",N(M170)*پارامترها!$B$6+N(N170)*پارامترها!$B$7+N(O170)*پارامترها!$B$8)</f>
        <v/>
      </c>
      <c r="T170" s="12" t="str">
        <f aca="false">IF(C170="","",N(R170)+N(S170))</f>
        <v/>
      </c>
      <c r="U170" s="10" t="str">
        <f aca="false">IF(C170="","",IF(P170&lt;&gt;"بله","ثبت نشده در HIS",IF(N(L170)&gt;0,"ثبت‌شده؛ مازاد بر سقف","ثبت‌شده")))</f>
        <v/>
      </c>
      <c r="V170" s="11"/>
    </row>
    <row r="171" customFormat="false" ht="15" hidden="false" customHeight="false" outlineLevel="0" collapsed="false">
      <c r="A171" s="10" t="str">
        <f aca="false">IF(C171="","",ROW()-3)</f>
        <v/>
      </c>
      <c r="B171" s="11"/>
      <c r="C171" s="11"/>
      <c r="D171" s="11"/>
      <c r="E171" s="11"/>
      <c r="F171" s="11"/>
      <c r="G171" s="11"/>
      <c r="H171" s="11"/>
      <c r="I171" s="11"/>
      <c r="J171" s="10" t="str">
        <f aca="false">IF(C171="","",N(H171)+N(I171))</f>
        <v/>
      </c>
      <c r="K171" s="10" t="str">
        <f aca="false">IF(C171="","",MIN(J171,پارامترها!$B$3))</f>
        <v/>
      </c>
      <c r="L171" s="10" t="str">
        <f aca="false">IF(C171="","",MAX(0,J171-پارامترها!$B$3))</f>
        <v/>
      </c>
      <c r="M171" s="11"/>
      <c r="N171" s="11"/>
      <c r="O171" s="11"/>
      <c r="P171" s="11"/>
      <c r="Q171" s="11"/>
      <c r="R171" s="12" t="str">
        <f aca="false">IF(OR(C171="",N(J171)=0),"",K171*2*(N(H171)*پارامترها!$B$4+N(I171)*پارامترها!$B$5)/J171)</f>
        <v/>
      </c>
      <c r="S171" s="12" t="str">
        <f aca="false">IF(C171="","",N(M171)*پارامترها!$B$6+N(N171)*پارامترها!$B$7+N(O171)*پارامترها!$B$8)</f>
        <v/>
      </c>
      <c r="T171" s="12" t="str">
        <f aca="false">IF(C171="","",N(R171)+N(S171))</f>
        <v/>
      </c>
      <c r="U171" s="10" t="str">
        <f aca="false">IF(C171="","",IF(P171&lt;&gt;"بله","ثبت نشده در HIS",IF(N(L171)&gt;0,"ثبت‌شده؛ مازاد بر سقف","ثبت‌شده")))</f>
        <v/>
      </c>
      <c r="V171" s="11"/>
    </row>
    <row r="172" customFormat="false" ht="15" hidden="false" customHeight="false" outlineLevel="0" collapsed="false">
      <c r="A172" s="10" t="str">
        <f aca="false">IF(C172="","",ROW()-3)</f>
        <v/>
      </c>
      <c r="B172" s="11"/>
      <c r="C172" s="11"/>
      <c r="D172" s="11"/>
      <c r="E172" s="11"/>
      <c r="F172" s="11"/>
      <c r="G172" s="11"/>
      <c r="H172" s="11"/>
      <c r="I172" s="11"/>
      <c r="J172" s="10" t="str">
        <f aca="false">IF(C172="","",N(H172)+N(I172))</f>
        <v/>
      </c>
      <c r="K172" s="10" t="str">
        <f aca="false">IF(C172="","",MIN(J172,پارامترها!$B$3))</f>
        <v/>
      </c>
      <c r="L172" s="10" t="str">
        <f aca="false">IF(C172="","",MAX(0,J172-پارامترها!$B$3))</f>
        <v/>
      </c>
      <c r="M172" s="11"/>
      <c r="N172" s="11"/>
      <c r="O172" s="11"/>
      <c r="P172" s="11"/>
      <c r="Q172" s="11"/>
      <c r="R172" s="12" t="str">
        <f aca="false">IF(OR(C172="",N(J172)=0),"",K172*2*(N(H172)*پارامترها!$B$4+N(I172)*پارامترها!$B$5)/J172)</f>
        <v/>
      </c>
      <c r="S172" s="12" t="str">
        <f aca="false">IF(C172="","",N(M172)*پارامترها!$B$6+N(N172)*پارامترها!$B$7+N(O172)*پارامترها!$B$8)</f>
        <v/>
      </c>
      <c r="T172" s="12" t="str">
        <f aca="false">IF(C172="","",N(R172)+N(S172))</f>
        <v/>
      </c>
      <c r="U172" s="10" t="str">
        <f aca="false">IF(C172="","",IF(P172&lt;&gt;"بله","ثبت نشده در HIS",IF(N(L172)&gt;0,"ثبت‌شده؛ مازاد بر سقف","ثبت‌شده")))</f>
        <v/>
      </c>
      <c r="V172" s="11"/>
    </row>
    <row r="173" customFormat="false" ht="15" hidden="false" customHeight="false" outlineLevel="0" collapsed="false">
      <c r="A173" s="10" t="str">
        <f aca="false">IF(C173="","",ROW()-3)</f>
        <v/>
      </c>
      <c r="B173" s="11"/>
      <c r="C173" s="11"/>
      <c r="D173" s="11"/>
      <c r="E173" s="11"/>
      <c r="F173" s="11"/>
      <c r="G173" s="11"/>
      <c r="H173" s="11"/>
      <c r="I173" s="11"/>
      <c r="J173" s="10" t="str">
        <f aca="false">IF(C173="","",N(H173)+N(I173))</f>
        <v/>
      </c>
      <c r="K173" s="10" t="str">
        <f aca="false">IF(C173="","",MIN(J173,پارامترها!$B$3))</f>
        <v/>
      </c>
      <c r="L173" s="10" t="str">
        <f aca="false">IF(C173="","",MAX(0,J173-پارامترها!$B$3))</f>
        <v/>
      </c>
      <c r="M173" s="11"/>
      <c r="N173" s="11"/>
      <c r="O173" s="11"/>
      <c r="P173" s="11"/>
      <c r="Q173" s="11"/>
      <c r="R173" s="12" t="str">
        <f aca="false">IF(OR(C173="",N(J173)=0),"",K173*2*(N(H173)*پارامترها!$B$4+N(I173)*پارامترها!$B$5)/J173)</f>
        <v/>
      </c>
      <c r="S173" s="12" t="str">
        <f aca="false">IF(C173="","",N(M173)*پارامترها!$B$6+N(N173)*پارامترها!$B$7+N(O173)*پارامترها!$B$8)</f>
        <v/>
      </c>
      <c r="T173" s="12" t="str">
        <f aca="false">IF(C173="","",N(R173)+N(S173))</f>
        <v/>
      </c>
      <c r="U173" s="10" t="str">
        <f aca="false">IF(C173="","",IF(P173&lt;&gt;"بله","ثبت نشده در HIS",IF(N(L173)&gt;0,"ثبت‌شده؛ مازاد بر سقف","ثبت‌شده")))</f>
        <v/>
      </c>
      <c r="V173" s="11"/>
    </row>
    <row r="174" customFormat="false" ht="15" hidden="false" customHeight="false" outlineLevel="0" collapsed="false">
      <c r="A174" s="10" t="str">
        <f aca="false">IF(C174="","",ROW()-3)</f>
        <v/>
      </c>
      <c r="B174" s="11"/>
      <c r="C174" s="11"/>
      <c r="D174" s="11"/>
      <c r="E174" s="11"/>
      <c r="F174" s="11"/>
      <c r="G174" s="11"/>
      <c r="H174" s="11"/>
      <c r="I174" s="11"/>
      <c r="J174" s="10" t="str">
        <f aca="false">IF(C174="","",N(H174)+N(I174))</f>
        <v/>
      </c>
      <c r="K174" s="10" t="str">
        <f aca="false">IF(C174="","",MIN(J174,پارامترها!$B$3))</f>
        <v/>
      </c>
      <c r="L174" s="10" t="str">
        <f aca="false">IF(C174="","",MAX(0,J174-پارامترها!$B$3))</f>
        <v/>
      </c>
      <c r="M174" s="11"/>
      <c r="N174" s="11"/>
      <c r="O174" s="11"/>
      <c r="P174" s="11"/>
      <c r="Q174" s="11"/>
      <c r="R174" s="12" t="str">
        <f aca="false">IF(OR(C174="",N(J174)=0),"",K174*2*(N(H174)*پارامترها!$B$4+N(I174)*پارامترها!$B$5)/J174)</f>
        <v/>
      </c>
      <c r="S174" s="12" t="str">
        <f aca="false">IF(C174="","",N(M174)*پارامترها!$B$6+N(N174)*پارامترها!$B$7+N(O174)*پارامترها!$B$8)</f>
        <v/>
      </c>
      <c r="T174" s="12" t="str">
        <f aca="false">IF(C174="","",N(R174)+N(S174))</f>
        <v/>
      </c>
      <c r="U174" s="10" t="str">
        <f aca="false">IF(C174="","",IF(P174&lt;&gt;"بله","ثبت نشده در HIS",IF(N(L174)&gt;0,"ثبت‌شده؛ مازاد بر سقف","ثبت‌شده")))</f>
        <v/>
      </c>
      <c r="V174" s="11"/>
    </row>
    <row r="175" customFormat="false" ht="15" hidden="false" customHeight="false" outlineLevel="0" collapsed="false">
      <c r="A175" s="10" t="str">
        <f aca="false">IF(C175="","",ROW()-3)</f>
        <v/>
      </c>
      <c r="B175" s="11"/>
      <c r="C175" s="11"/>
      <c r="D175" s="11"/>
      <c r="E175" s="11"/>
      <c r="F175" s="11"/>
      <c r="G175" s="11"/>
      <c r="H175" s="11"/>
      <c r="I175" s="11"/>
      <c r="J175" s="10" t="str">
        <f aca="false">IF(C175="","",N(H175)+N(I175))</f>
        <v/>
      </c>
      <c r="K175" s="10" t="str">
        <f aca="false">IF(C175="","",MIN(J175,پارامترها!$B$3))</f>
        <v/>
      </c>
      <c r="L175" s="10" t="str">
        <f aca="false">IF(C175="","",MAX(0,J175-پارامترها!$B$3))</f>
        <v/>
      </c>
      <c r="M175" s="11"/>
      <c r="N175" s="11"/>
      <c r="O175" s="11"/>
      <c r="P175" s="11"/>
      <c r="Q175" s="11"/>
      <c r="R175" s="12" t="str">
        <f aca="false">IF(OR(C175="",N(J175)=0),"",K175*2*(N(H175)*پارامترها!$B$4+N(I175)*پارامترها!$B$5)/J175)</f>
        <v/>
      </c>
      <c r="S175" s="12" t="str">
        <f aca="false">IF(C175="","",N(M175)*پارامترها!$B$6+N(N175)*پارامترها!$B$7+N(O175)*پارامترها!$B$8)</f>
        <v/>
      </c>
      <c r="T175" s="12" t="str">
        <f aca="false">IF(C175="","",N(R175)+N(S175))</f>
        <v/>
      </c>
      <c r="U175" s="10" t="str">
        <f aca="false">IF(C175="","",IF(P175&lt;&gt;"بله","ثبت نشده در HIS",IF(N(L175)&gt;0,"ثبت‌شده؛ مازاد بر سقف","ثبت‌شده")))</f>
        <v/>
      </c>
      <c r="V175" s="11"/>
    </row>
    <row r="176" customFormat="false" ht="15" hidden="false" customHeight="false" outlineLevel="0" collapsed="false">
      <c r="A176" s="10" t="str">
        <f aca="false">IF(C176="","",ROW()-3)</f>
        <v/>
      </c>
      <c r="B176" s="11"/>
      <c r="C176" s="11"/>
      <c r="D176" s="11"/>
      <c r="E176" s="11"/>
      <c r="F176" s="11"/>
      <c r="G176" s="11"/>
      <c r="H176" s="11"/>
      <c r="I176" s="11"/>
      <c r="J176" s="10" t="str">
        <f aca="false">IF(C176="","",N(H176)+N(I176))</f>
        <v/>
      </c>
      <c r="K176" s="10" t="str">
        <f aca="false">IF(C176="","",MIN(J176,پارامترها!$B$3))</f>
        <v/>
      </c>
      <c r="L176" s="10" t="str">
        <f aca="false">IF(C176="","",MAX(0,J176-پارامترها!$B$3))</f>
        <v/>
      </c>
      <c r="M176" s="11"/>
      <c r="N176" s="11"/>
      <c r="O176" s="11"/>
      <c r="P176" s="11"/>
      <c r="Q176" s="11"/>
      <c r="R176" s="12" t="str">
        <f aca="false">IF(OR(C176="",N(J176)=0),"",K176*2*(N(H176)*پارامترها!$B$4+N(I176)*پارامترها!$B$5)/J176)</f>
        <v/>
      </c>
      <c r="S176" s="12" t="str">
        <f aca="false">IF(C176="","",N(M176)*پارامترها!$B$6+N(N176)*پارامترها!$B$7+N(O176)*پارامترها!$B$8)</f>
        <v/>
      </c>
      <c r="T176" s="12" t="str">
        <f aca="false">IF(C176="","",N(R176)+N(S176))</f>
        <v/>
      </c>
      <c r="U176" s="10" t="str">
        <f aca="false">IF(C176="","",IF(P176&lt;&gt;"بله","ثبت نشده در HIS",IF(N(L176)&gt;0,"ثبت‌شده؛ مازاد بر سقف","ثبت‌شده")))</f>
        <v/>
      </c>
      <c r="V176" s="11"/>
    </row>
    <row r="177" customFormat="false" ht="15" hidden="false" customHeight="false" outlineLevel="0" collapsed="false">
      <c r="A177" s="10" t="str">
        <f aca="false">IF(C177="","",ROW()-3)</f>
        <v/>
      </c>
      <c r="B177" s="11"/>
      <c r="C177" s="11"/>
      <c r="D177" s="11"/>
      <c r="E177" s="11"/>
      <c r="F177" s="11"/>
      <c r="G177" s="11"/>
      <c r="H177" s="11"/>
      <c r="I177" s="11"/>
      <c r="J177" s="10" t="str">
        <f aca="false">IF(C177="","",N(H177)+N(I177))</f>
        <v/>
      </c>
      <c r="K177" s="10" t="str">
        <f aca="false">IF(C177="","",MIN(J177,پارامترها!$B$3))</f>
        <v/>
      </c>
      <c r="L177" s="10" t="str">
        <f aca="false">IF(C177="","",MAX(0,J177-پارامترها!$B$3))</f>
        <v/>
      </c>
      <c r="M177" s="11"/>
      <c r="N177" s="11"/>
      <c r="O177" s="11"/>
      <c r="P177" s="11"/>
      <c r="Q177" s="11"/>
      <c r="R177" s="12" t="str">
        <f aca="false">IF(OR(C177="",N(J177)=0),"",K177*2*(N(H177)*پارامترها!$B$4+N(I177)*پارامترها!$B$5)/J177)</f>
        <v/>
      </c>
      <c r="S177" s="12" t="str">
        <f aca="false">IF(C177="","",N(M177)*پارامترها!$B$6+N(N177)*پارامترها!$B$7+N(O177)*پارامترها!$B$8)</f>
        <v/>
      </c>
      <c r="T177" s="12" t="str">
        <f aca="false">IF(C177="","",N(R177)+N(S177))</f>
        <v/>
      </c>
      <c r="U177" s="10" t="str">
        <f aca="false">IF(C177="","",IF(P177&lt;&gt;"بله","ثبت نشده در HIS",IF(N(L177)&gt;0,"ثبت‌شده؛ مازاد بر سقف","ثبت‌شده")))</f>
        <v/>
      </c>
      <c r="V177" s="11"/>
    </row>
    <row r="178" customFormat="false" ht="15" hidden="false" customHeight="false" outlineLevel="0" collapsed="false">
      <c r="A178" s="10" t="str">
        <f aca="false">IF(C178="","",ROW()-3)</f>
        <v/>
      </c>
      <c r="B178" s="11"/>
      <c r="C178" s="11"/>
      <c r="D178" s="11"/>
      <c r="E178" s="11"/>
      <c r="F178" s="11"/>
      <c r="G178" s="11"/>
      <c r="H178" s="11"/>
      <c r="I178" s="11"/>
      <c r="J178" s="10" t="str">
        <f aca="false">IF(C178="","",N(H178)+N(I178))</f>
        <v/>
      </c>
      <c r="K178" s="10" t="str">
        <f aca="false">IF(C178="","",MIN(J178,پارامترها!$B$3))</f>
        <v/>
      </c>
      <c r="L178" s="10" t="str">
        <f aca="false">IF(C178="","",MAX(0,J178-پارامترها!$B$3))</f>
        <v/>
      </c>
      <c r="M178" s="11"/>
      <c r="N178" s="11"/>
      <c r="O178" s="11"/>
      <c r="P178" s="11"/>
      <c r="Q178" s="11"/>
      <c r="R178" s="12" t="str">
        <f aca="false">IF(OR(C178="",N(J178)=0),"",K178*2*(N(H178)*پارامترها!$B$4+N(I178)*پارامترها!$B$5)/J178)</f>
        <v/>
      </c>
      <c r="S178" s="12" t="str">
        <f aca="false">IF(C178="","",N(M178)*پارامترها!$B$6+N(N178)*پارامترها!$B$7+N(O178)*پارامترها!$B$8)</f>
        <v/>
      </c>
      <c r="T178" s="12" t="str">
        <f aca="false">IF(C178="","",N(R178)+N(S178))</f>
        <v/>
      </c>
      <c r="U178" s="10" t="str">
        <f aca="false">IF(C178="","",IF(P178&lt;&gt;"بله","ثبت نشده در HIS",IF(N(L178)&gt;0,"ثبت‌شده؛ مازاد بر سقف","ثبت‌شده")))</f>
        <v/>
      </c>
      <c r="V178" s="11"/>
    </row>
    <row r="179" customFormat="false" ht="15" hidden="false" customHeight="false" outlineLevel="0" collapsed="false">
      <c r="A179" s="10" t="str">
        <f aca="false">IF(C179="","",ROW()-3)</f>
        <v/>
      </c>
      <c r="B179" s="11"/>
      <c r="C179" s="11"/>
      <c r="D179" s="11"/>
      <c r="E179" s="11"/>
      <c r="F179" s="11"/>
      <c r="G179" s="11"/>
      <c r="H179" s="11"/>
      <c r="I179" s="11"/>
      <c r="J179" s="10" t="str">
        <f aca="false">IF(C179="","",N(H179)+N(I179))</f>
        <v/>
      </c>
      <c r="K179" s="10" t="str">
        <f aca="false">IF(C179="","",MIN(J179,پارامترها!$B$3))</f>
        <v/>
      </c>
      <c r="L179" s="10" t="str">
        <f aca="false">IF(C179="","",MAX(0,J179-پارامترها!$B$3))</f>
        <v/>
      </c>
      <c r="M179" s="11"/>
      <c r="N179" s="11"/>
      <c r="O179" s="11"/>
      <c r="P179" s="11"/>
      <c r="Q179" s="11"/>
      <c r="R179" s="12" t="str">
        <f aca="false">IF(OR(C179="",N(J179)=0),"",K179*2*(N(H179)*پارامترها!$B$4+N(I179)*پارامترها!$B$5)/J179)</f>
        <v/>
      </c>
      <c r="S179" s="12" t="str">
        <f aca="false">IF(C179="","",N(M179)*پارامترها!$B$6+N(N179)*پارامترها!$B$7+N(O179)*پارامترها!$B$8)</f>
        <v/>
      </c>
      <c r="T179" s="12" t="str">
        <f aca="false">IF(C179="","",N(R179)+N(S179))</f>
        <v/>
      </c>
      <c r="U179" s="10" t="str">
        <f aca="false">IF(C179="","",IF(P179&lt;&gt;"بله","ثبت نشده در HIS",IF(N(L179)&gt;0,"ثبت‌شده؛ مازاد بر سقف","ثبت‌شده")))</f>
        <v/>
      </c>
      <c r="V179" s="11"/>
    </row>
    <row r="180" customFormat="false" ht="15" hidden="false" customHeight="false" outlineLevel="0" collapsed="false">
      <c r="A180" s="10" t="str">
        <f aca="false">IF(C180="","",ROW()-3)</f>
        <v/>
      </c>
      <c r="B180" s="11"/>
      <c r="C180" s="11"/>
      <c r="D180" s="11"/>
      <c r="E180" s="11"/>
      <c r="F180" s="11"/>
      <c r="G180" s="11"/>
      <c r="H180" s="11"/>
      <c r="I180" s="11"/>
      <c r="J180" s="10" t="str">
        <f aca="false">IF(C180="","",N(H180)+N(I180))</f>
        <v/>
      </c>
      <c r="K180" s="10" t="str">
        <f aca="false">IF(C180="","",MIN(J180,پارامترها!$B$3))</f>
        <v/>
      </c>
      <c r="L180" s="10" t="str">
        <f aca="false">IF(C180="","",MAX(0,J180-پارامترها!$B$3))</f>
        <v/>
      </c>
      <c r="M180" s="11"/>
      <c r="N180" s="11"/>
      <c r="O180" s="11"/>
      <c r="P180" s="11"/>
      <c r="Q180" s="11"/>
      <c r="R180" s="12" t="str">
        <f aca="false">IF(OR(C180="",N(J180)=0),"",K180*2*(N(H180)*پارامترها!$B$4+N(I180)*پارامترها!$B$5)/J180)</f>
        <v/>
      </c>
      <c r="S180" s="12" t="str">
        <f aca="false">IF(C180="","",N(M180)*پارامترها!$B$6+N(N180)*پارامترها!$B$7+N(O180)*پارامترها!$B$8)</f>
        <v/>
      </c>
      <c r="T180" s="12" t="str">
        <f aca="false">IF(C180="","",N(R180)+N(S180))</f>
        <v/>
      </c>
      <c r="U180" s="10" t="str">
        <f aca="false">IF(C180="","",IF(P180&lt;&gt;"بله","ثبت نشده در HIS",IF(N(L180)&gt;0,"ثبت‌شده؛ مازاد بر سقف","ثبت‌شده")))</f>
        <v/>
      </c>
      <c r="V180" s="11"/>
    </row>
    <row r="181" customFormat="false" ht="15" hidden="false" customHeight="false" outlineLevel="0" collapsed="false">
      <c r="A181" s="10" t="str">
        <f aca="false">IF(C181="","",ROW()-3)</f>
        <v/>
      </c>
      <c r="B181" s="11"/>
      <c r="C181" s="11"/>
      <c r="D181" s="11"/>
      <c r="E181" s="11"/>
      <c r="F181" s="11"/>
      <c r="G181" s="11"/>
      <c r="H181" s="11"/>
      <c r="I181" s="11"/>
      <c r="J181" s="10" t="str">
        <f aca="false">IF(C181="","",N(H181)+N(I181))</f>
        <v/>
      </c>
      <c r="K181" s="10" t="str">
        <f aca="false">IF(C181="","",MIN(J181,پارامترها!$B$3))</f>
        <v/>
      </c>
      <c r="L181" s="10" t="str">
        <f aca="false">IF(C181="","",MAX(0,J181-پارامترها!$B$3))</f>
        <v/>
      </c>
      <c r="M181" s="11"/>
      <c r="N181" s="11"/>
      <c r="O181" s="11"/>
      <c r="P181" s="11"/>
      <c r="Q181" s="11"/>
      <c r="R181" s="12" t="str">
        <f aca="false">IF(OR(C181="",N(J181)=0),"",K181*2*(N(H181)*پارامترها!$B$4+N(I181)*پارامترها!$B$5)/J181)</f>
        <v/>
      </c>
      <c r="S181" s="12" t="str">
        <f aca="false">IF(C181="","",N(M181)*پارامترها!$B$6+N(N181)*پارامترها!$B$7+N(O181)*پارامترها!$B$8)</f>
        <v/>
      </c>
      <c r="T181" s="12" t="str">
        <f aca="false">IF(C181="","",N(R181)+N(S181))</f>
        <v/>
      </c>
      <c r="U181" s="10" t="str">
        <f aca="false">IF(C181="","",IF(P181&lt;&gt;"بله","ثبت نشده در HIS",IF(N(L181)&gt;0,"ثبت‌شده؛ مازاد بر سقف","ثبت‌شده")))</f>
        <v/>
      </c>
      <c r="V181" s="11"/>
    </row>
    <row r="182" customFormat="false" ht="15" hidden="false" customHeight="false" outlineLevel="0" collapsed="false">
      <c r="A182" s="10" t="str">
        <f aca="false">IF(C182="","",ROW()-3)</f>
        <v/>
      </c>
      <c r="B182" s="11"/>
      <c r="C182" s="11"/>
      <c r="D182" s="11"/>
      <c r="E182" s="11"/>
      <c r="F182" s="11"/>
      <c r="G182" s="11"/>
      <c r="H182" s="11"/>
      <c r="I182" s="11"/>
      <c r="J182" s="10" t="str">
        <f aca="false">IF(C182="","",N(H182)+N(I182))</f>
        <v/>
      </c>
      <c r="K182" s="10" t="str">
        <f aca="false">IF(C182="","",MIN(J182,پارامترها!$B$3))</f>
        <v/>
      </c>
      <c r="L182" s="10" t="str">
        <f aca="false">IF(C182="","",MAX(0,J182-پارامترها!$B$3))</f>
        <v/>
      </c>
      <c r="M182" s="11"/>
      <c r="N182" s="11"/>
      <c r="O182" s="11"/>
      <c r="P182" s="11"/>
      <c r="Q182" s="11"/>
      <c r="R182" s="12" t="str">
        <f aca="false">IF(OR(C182="",N(J182)=0),"",K182*2*(N(H182)*پارامترها!$B$4+N(I182)*پارامترها!$B$5)/J182)</f>
        <v/>
      </c>
      <c r="S182" s="12" t="str">
        <f aca="false">IF(C182="","",N(M182)*پارامترها!$B$6+N(N182)*پارامترها!$B$7+N(O182)*پارامترها!$B$8)</f>
        <v/>
      </c>
      <c r="T182" s="12" t="str">
        <f aca="false">IF(C182="","",N(R182)+N(S182))</f>
        <v/>
      </c>
      <c r="U182" s="10" t="str">
        <f aca="false">IF(C182="","",IF(P182&lt;&gt;"بله","ثبت نشده در HIS",IF(N(L182)&gt;0,"ثبت‌شده؛ مازاد بر سقف","ثبت‌شده")))</f>
        <v/>
      </c>
      <c r="V182" s="11"/>
    </row>
    <row r="183" customFormat="false" ht="15" hidden="false" customHeight="false" outlineLevel="0" collapsed="false">
      <c r="A183" s="10" t="str">
        <f aca="false">IF(C183="","",ROW()-3)</f>
        <v/>
      </c>
      <c r="B183" s="11"/>
      <c r="C183" s="11"/>
      <c r="D183" s="11"/>
      <c r="E183" s="11"/>
      <c r="F183" s="11"/>
      <c r="G183" s="11"/>
      <c r="H183" s="11"/>
      <c r="I183" s="11"/>
      <c r="J183" s="10" t="str">
        <f aca="false">IF(C183="","",N(H183)+N(I183))</f>
        <v/>
      </c>
      <c r="K183" s="10" t="str">
        <f aca="false">IF(C183="","",MIN(J183,پارامترها!$B$3))</f>
        <v/>
      </c>
      <c r="L183" s="10" t="str">
        <f aca="false">IF(C183="","",MAX(0,J183-پارامترها!$B$3))</f>
        <v/>
      </c>
      <c r="M183" s="11"/>
      <c r="N183" s="11"/>
      <c r="O183" s="11"/>
      <c r="P183" s="11"/>
      <c r="Q183" s="11"/>
      <c r="R183" s="12" t="str">
        <f aca="false">IF(OR(C183="",N(J183)=0),"",K183*2*(N(H183)*پارامترها!$B$4+N(I183)*پارامترها!$B$5)/J183)</f>
        <v/>
      </c>
      <c r="S183" s="12" t="str">
        <f aca="false">IF(C183="","",N(M183)*پارامترها!$B$6+N(N183)*پارامترها!$B$7+N(O183)*پارامترها!$B$8)</f>
        <v/>
      </c>
      <c r="T183" s="12" t="str">
        <f aca="false">IF(C183="","",N(R183)+N(S183))</f>
        <v/>
      </c>
      <c r="U183" s="10" t="str">
        <f aca="false">IF(C183="","",IF(P183&lt;&gt;"بله","ثبت نشده در HIS",IF(N(L183)&gt;0,"ثبت‌شده؛ مازاد بر سقف","ثبت‌شده")))</f>
        <v/>
      </c>
      <c r="V183" s="11"/>
    </row>
    <row r="184" customFormat="false" ht="15" hidden="false" customHeight="false" outlineLevel="0" collapsed="false">
      <c r="A184" s="10" t="str">
        <f aca="false">IF(C184="","",ROW()-3)</f>
        <v/>
      </c>
      <c r="B184" s="11"/>
      <c r="C184" s="11"/>
      <c r="D184" s="11"/>
      <c r="E184" s="11"/>
      <c r="F184" s="11"/>
      <c r="G184" s="11"/>
      <c r="H184" s="11"/>
      <c r="I184" s="11"/>
      <c r="J184" s="10" t="str">
        <f aca="false">IF(C184="","",N(H184)+N(I184))</f>
        <v/>
      </c>
      <c r="K184" s="10" t="str">
        <f aca="false">IF(C184="","",MIN(J184,پارامترها!$B$3))</f>
        <v/>
      </c>
      <c r="L184" s="10" t="str">
        <f aca="false">IF(C184="","",MAX(0,J184-پارامترها!$B$3))</f>
        <v/>
      </c>
      <c r="M184" s="11"/>
      <c r="N184" s="11"/>
      <c r="O184" s="11"/>
      <c r="P184" s="11"/>
      <c r="Q184" s="11"/>
      <c r="R184" s="12" t="str">
        <f aca="false">IF(OR(C184="",N(J184)=0),"",K184*2*(N(H184)*پارامترها!$B$4+N(I184)*پارامترها!$B$5)/J184)</f>
        <v/>
      </c>
      <c r="S184" s="12" t="str">
        <f aca="false">IF(C184="","",N(M184)*پارامترها!$B$6+N(N184)*پارامترها!$B$7+N(O184)*پارامترها!$B$8)</f>
        <v/>
      </c>
      <c r="T184" s="12" t="str">
        <f aca="false">IF(C184="","",N(R184)+N(S184))</f>
        <v/>
      </c>
      <c r="U184" s="10" t="str">
        <f aca="false">IF(C184="","",IF(P184&lt;&gt;"بله","ثبت نشده در HIS",IF(N(L184)&gt;0,"ثبت‌شده؛ مازاد بر سقف","ثبت‌شده")))</f>
        <v/>
      </c>
      <c r="V184" s="11"/>
    </row>
    <row r="185" customFormat="false" ht="15" hidden="false" customHeight="false" outlineLevel="0" collapsed="false">
      <c r="A185" s="10" t="str">
        <f aca="false">IF(C185="","",ROW()-3)</f>
        <v/>
      </c>
      <c r="B185" s="11"/>
      <c r="C185" s="11"/>
      <c r="D185" s="11"/>
      <c r="E185" s="11"/>
      <c r="F185" s="11"/>
      <c r="G185" s="11"/>
      <c r="H185" s="11"/>
      <c r="I185" s="11"/>
      <c r="J185" s="10" t="str">
        <f aca="false">IF(C185="","",N(H185)+N(I185))</f>
        <v/>
      </c>
      <c r="K185" s="10" t="str">
        <f aca="false">IF(C185="","",MIN(J185,پارامترها!$B$3))</f>
        <v/>
      </c>
      <c r="L185" s="10" t="str">
        <f aca="false">IF(C185="","",MAX(0,J185-پارامترها!$B$3))</f>
        <v/>
      </c>
      <c r="M185" s="11"/>
      <c r="N185" s="11"/>
      <c r="O185" s="11"/>
      <c r="P185" s="11"/>
      <c r="Q185" s="11"/>
      <c r="R185" s="12" t="str">
        <f aca="false">IF(OR(C185="",N(J185)=0),"",K185*2*(N(H185)*پارامترها!$B$4+N(I185)*پارامترها!$B$5)/J185)</f>
        <v/>
      </c>
      <c r="S185" s="12" t="str">
        <f aca="false">IF(C185="","",N(M185)*پارامترها!$B$6+N(N185)*پارامترها!$B$7+N(O185)*پارامترها!$B$8)</f>
        <v/>
      </c>
      <c r="T185" s="12" t="str">
        <f aca="false">IF(C185="","",N(R185)+N(S185))</f>
        <v/>
      </c>
      <c r="U185" s="10" t="str">
        <f aca="false">IF(C185="","",IF(P185&lt;&gt;"بله","ثبت نشده در HIS",IF(N(L185)&gt;0,"ثبت‌شده؛ مازاد بر سقف","ثبت‌شده")))</f>
        <v/>
      </c>
      <c r="V185" s="11"/>
    </row>
    <row r="186" customFormat="false" ht="15" hidden="false" customHeight="false" outlineLevel="0" collapsed="false">
      <c r="A186" s="10" t="str">
        <f aca="false">IF(C186="","",ROW()-3)</f>
        <v/>
      </c>
      <c r="B186" s="11"/>
      <c r="C186" s="11"/>
      <c r="D186" s="11"/>
      <c r="E186" s="11"/>
      <c r="F186" s="11"/>
      <c r="G186" s="11"/>
      <c r="H186" s="11"/>
      <c r="I186" s="11"/>
      <c r="J186" s="10" t="str">
        <f aca="false">IF(C186="","",N(H186)+N(I186))</f>
        <v/>
      </c>
      <c r="K186" s="10" t="str">
        <f aca="false">IF(C186="","",MIN(J186,پارامترها!$B$3))</f>
        <v/>
      </c>
      <c r="L186" s="10" t="str">
        <f aca="false">IF(C186="","",MAX(0,J186-پارامترها!$B$3))</f>
        <v/>
      </c>
      <c r="M186" s="11"/>
      <c r="N186" s="11"/>
      <c r="O186" s="11"/>
      <c r="P186" s="11"/>
      <c r="Q186" s="11"/>
      <c r="R186" s="12" t="str">
        <f aca="false">IF(OR(C186="",N(J186)=0),"",K186*2*(N(H186)*پارامترها!$B$4+N(I186)*پارامترها!$B$5)/J186)</f>
        <v/>
      </c>
      <c r="S186" s="12" t="str">
        <f aca="false">IF(C186="","",N(M186)*پارامترها!$B$6+N(N186)*پارامترها!$B$7+N(O186)*پارامترها!$B$8)</f>
        <v/>
      </c>
      <c r="T186" s="12" t="str">
        <f aca="false">IF(C186="","",N(R186)+N(S186))</f>
        <v/>
      </c>
      <c r="U186" s="10" t="str">
        <f aca="false">IF(C186="","",IF(P186&lt;&gt;"بله","ثبت نشده در HIS",IF(N(L186)&gt;0,"ثبت‌شده؛ مازاد بر سقف","ثبت‌شده")))</f>
        <v/>
      </c>
      <c r="V186" s="11"/>
    </row>
    <row r="187" customFormat="false" ht="15" hidden="false" customHeight="false" outlineLevel="0" collapsed="false">
      <c r="A187" s="10" t="str">
        <f aca="false">IF(C187="","",ROW()-3)</f>
        <v/>
      </c>
      <c r="B187" s="11"/>
      <c r="C187" s="11"/>
      <c r="D187" s="11"/>
      <c r="E187" s="11"/>
      <c r="F187" s="11"/>
      <c r="G187" s="11"/>
      <c r="H187" s="11"/>
      <c r="I187" s="11"/>
      <c r="J187" s="10" t="str">
        <f aca="false">IF(C187="","",N(H187)+N(I187))</f>
        <v/>
      </c>
      <c r="K187" s="10" t="str">
        <f aca="false">IF(C187="","",MIN(J187,پارامترها!$B$3))</f>
        <v/>
      </c>
      <c r="L187" s="10" t="str">
        <f aca="false">IF(C187="","",MAX(0,J187-پارامترها!$B$3))</f>
        <v/>
      </c>
      <c r="M187" s="11"/>
      <c r="N187" s="11"/>
      <c r="O187" s="11"/>
      <c r="P187" s="11"/>
      <c r="Q187" s="11"/>
      <c r="R187" s="12" t="str">
        <f aca="false">IF(OR(C187="",N(J187)=0),"",K187*2*(N(H187)*پارامترها!$B$4+N(I187)*پارامترها!$B$5)/J187)</f>
        <v/>
      </c>
      <c r="S187" s="12" t="str">
        <f aca="false">IF(C187="","",N(M187)*پارامترها!$B$6+N(N187)*پارامترها!$B$7+N(O187)*پارامترها!$B$8)</f>
        <v/>
      </c>
      <c r="T187" s="12" t="str">
        <f aca="false">IF(C187="","",N(R187)+N(S187))</f>
        <v/>
      </c>
      <c r="U187" s="10" t="str">
        <f aca="false">IF(C187="","",IF(P187&lt;&gt;"بله","ثبت نشده در HIS",IF(N(L187)&gt;0,"ثبت‌شده؛ مازاد بر سقف","ثبت‌شده")))</f>
        <v/>
      </c>
      <c r="V187" s="11"/>
    </row>
    <row r="188" customFormat="false" ht="15" hidden="false" customHeight="false" outlineLevel="0" collapsed="false">
      <c r="A188" s="10" t="str">
        <f aca="false">IF(C188="","",ROW()-3)</f>
        <v/>
      </c>
      <c r="B188" s="11"/>
      <c r="C188" s="11"/>
      <c r="D188" s="11"/>
      <c r="E188" s="11"/>
      <c r="F188" s="11"/>
      <c r="G188" s="11"/>
      <c r="H188" s="11"/>
      <c r="I188" s="11"/>
      <c r="J188" s="10" t="str">
        <f aca="false">IF(C188="","",N(H188)+N(I188))</f>
        <v/>
      </c>
      <c r="K188" s="10" t="str">
        <f aca="false">IF(C188="","",MIN(J188,پارامترها!$B$3))</f>
        <v/>
      </c>
      <c r="L188" s="10" t="str">
        <f aca="false">IF(C188="","",MAX(0,J188-پارامترها!$B$3))</f>
        <v/>
      </c>
      <c r="M188" s="11"/>
      <c r="N188" s="11"/>
      <c r="O188" s="11"/>
      <c r="P188" s="11"/>
      <c r="Q188" s="11"/>
      <c r="R188" s="12" t="str">
        <f aca="false">IF(OR(C188="",N(J188)=0),"",K188*2*(N(H188)*پارامترها!$B$4+N(I188)*پارامترها!$B$5)/J188)</f>
        <v/>
      </c>
      <c r="S188" s="12" t="str">
        <f aca="false">IF(C188="","",N(M188)*پارامترها!$B$6+N(N188)*پارامترها!$B$7+N(O188)*پارامترها!$B$8)</f>
        <v/>
      </c>
      <c r="T188" s="12" t="str">
        <f aca="false">IF(C188="","",N(R188)+N(S188))</f>
        <v/>
      </c>
      <c r="U188" s="10" t="str">
        <f aca="false">IF(C188="","",IF(P188&lt;&gt;"بله","ثبت نشده در HIS",IF(N(L188)&gt;0,"ثبت‌شده؛ مازاد بر سقف","ثبت‌شده")))</f>
        <v/>
      </c>
      <c r="V188" s="11"/>
    </row>
    <row r="189" customFormat="false" ht="15" hidden="false" customHeight="false" outlineLevel="0" collapsed="false">
      <c r="A189" s="10" t="str">
        <f aca="false">IF(C189="","",ROW()-3)</f>
        <v/>
      </c>
      <c r="B189" s="11"/>
      <c r="C189" s="11"/>
      <c r="D189" s="11"/>
      <c r="E189" s="11"/>
      <c r="F189" s="11"/>
      <c r="G189" s="11"/>
      <c r="H189" s="11"/>
      <c r="I189" s="11"/>
      <c r="J189" s="10" t="str">
        <f aca="false">IF(C189="","",N(H189)+N(I189))</f>
        <v/>
      </c>
      <c r="K189" s="10" t="str">
        <f aca="false">IF(C189="","",MIN(J189,پارامترها!$B$3))</f>
        <v/>
      </c>
      <c r="L189" s="10" t="str">
        <f aca="false">IF(C189="","",MAX(0,J189-پارامترها!$B$3))</f>
        <v/>
      </c>
      <c r="M189" s="11"/>
      <c r="N189" s="11"/>
      <c r="O189" s="11"/>
      <c r="P189" s="11"/>
      <c r="Q189" s="11"/>
      <c r="R189" s="12" t="str">
        <f aca="false">IF(OR(C189="",N(J189)=0),"",K189*2*(N(H189)*پارامترها!$B$4+N(I189)*پارامترها!$B$5)/J189)</f>
        <v/>
      </c>
      <c r="S189" s="12" t="str">
        <f aca="false">IF(C189="","",N(M189)*پارامترها!$B$6+N(N189)*پارامترها!$B$7+N(O189)*پارامترها!$B$8)</f>
        <v/>
      </c>
      <c r="T189" s="12" t="str">
        <f aca="false">IF(C189="","",N(R189)+N(S189))</f>
        <v/>
      </c>
      <c r="U189" s="10" t="str">
        <f aca="false">IF(C189="","",IF(P189&lt;&gt;"بله","ثبت نشده در HIS",IF(N(L189)&gt;0,"ثبت‌شده؛ مازاد بر سقف","ثبت‌شده")))</f>
        <v/>
      </c>
      <c r="V189" s="11"/>
    </row>
    <row r="190" customFormat="false" ht="15" hidden="false" customHeight="false" outlineLevel="0" collapsed="false">
      <c r="A190" s="10" t="str">
        <f aca="false">IF(C190="","",ROW()-3)</f>
        <v/>
      </c>
      <c r="B190" s="11"/>
      <c r="C190" s="11"/>
      <c r="D190" s="11"/>
      <c r="E190" s="11"/>
      <c r="F190" s="11"/>
      <c r="G190" s="11"/>
      <c r="H190" s="11"/>
      <c r="I190" s="11"/>
      <c r="J190" s="10" t="str">
        <f aca="false">IF(C190="","",N(H190)+N(I190))</f>
        <v/>
      </c>
      <c r="K190" s="10" t="str">
        <f aca="false">IF(C190="","",MIN(J190,پارامترها!$B$3))</f>
        <v/>
      </c>
      <c r="L190" s="10" t="str">
        <f aca="false">IF(C190="","",MAX(0,J190-پارامترها!$B$3))</f>
        <v/>
      </c>
      <c r="M190" s="11"/>
      <c r="N190" s="11"/>
      <c r="O190" s="11"/>
      <c r="P190" s="11"/>
      <c r="Q190" s="11"/>
      <c r="R190" s="12" t="str">
        <f aca="false">IF(OR(C190="",N(J190)=0),"",K190*2*(N(H190)*پارامترها!$B$4+N(I190)*پارامترها!$B$5)/J190)</f>
        <v/>
      </c>
      <c r="S190" s="12" t="str">
        <f aca="false">IF(C190="","",N(M190)*پارامترها!$B$6+N(N190)*پارامترها!$B$7+N(O190)*پارامترها!$B$8)</f>
        <v/>
      </c>
      <c r="T190" s="12" t="str">
        <f aca="false">IF(C190="","",N(R190)+N(S190))</f>
        <v/>
      </c>
      <c r="U190" s="10" t="str">
        <f aca="false">IF(C190="","",IF(P190&lt;&gt;"بله","ثبت نشده در HIS",IF(N(L190)&gt;0,"ثبت‌شده؛ مازاد بر سقف","ثبت‌شده")))</f>
        <v/>
      </c>
      <c r="V190" s="11"/>
    </row>
    <row r="191" customFormat="false" ht="15" hidden="false" customHeight="false" outlineLevel="0" collapsed="false">
      <c r="A191" s="10" t="str">
        <f aca="false">IF(C191="","",ROW()-3)</f>
        <v/>
      </c>
      <c r="B191" s="11"/>
      <c r="C191" s="11"/>
      <c r="D191" s="11"/>
      <c r="E191" s="11"/>
      <c r="F191" s="11"/>
      <c r="G191" s="11"/>
      <c r="H191" s="11"/>
      <c r="I191" s="11"/>
      <c r="J191" s="10" t="str">
        <f aca="false">IF(C191="","",N(H191)+N(I191))</f>
        <v/>
      </c>
      <c r="K191" s="10" t="str">
        <f aca="false">IF(C191="","",MIN(J191,پارامترها!$B$3))</f>
        <v/>
      </c>
      <c r="L191" s="10" t="str">
        <f aca="false">IF(C191="","",MAX(0,J191-پارامترها!$B$3))</f>
        <v/>
      </c>
      <c r="M191" s="11"/>
      <c r="N191" s="11"/>
      <c r="O191" s="11"/>
      <c r="P191" s="11"/>
      <c r="Q191" s="11"/>
      <c r="R191" s="12" t="str">
        <f aca="false">IF(OR(C191="",N(J191)=0),"",K191*2*(N(H191)*پارامترها!$B$4+N(I191)*پارامترها!$B$5)/J191)</f>
        <v/>
      </c>
      <c r="S191" s="12" t="str">
        <f aca="false">IF(C191="","",N(M191)*پارامترها!$B$6+N(N191)*پارامترها!$B$7+N(O191)*پارامترها!$B$8)</f>
        <v/>
      </c>
      <c r="T191" s="12" t="str">
        <f aca="false">IF(C191="","",N(R191)+N(S191))</f>
        <v/>
      </c>
      <c r="U191" s="10" t="str">
        <f aca="false">IF(C191="","",IF(P191&lt;&gt;"بله","ثبت نشده در HIS",IF(N(L191)&gt;0,"ثبت‌شده؛ مازاد بر سقف","ثبت‌شده")))</f>
        <v/>
      </c>
      <c r="V191" s="11"/>
    </row>
    <row r="192" customFormat="false" ht="15" hidden="false" customHeight="false" outlineLevel="0" collapsed="false">
      <c r="A192" s="10" t="str">
        <f aca="false">IF(C192="","",ROW()-3)</f>
        <v/>
      </c>
      <c r="B192" s="11"/>
      <c r="C192" s="11"/>
      <c r="D192" s="11"/>
      <c r="E192" s="11"/>
      <c r="F192" s="11"/>
      <c r="G192" s="11"/>
      <c r="H192" s="11"/>
      <c r="I192" s="11"/>
      <c r="J192" s="10" t="str">
        <f aca="false">IF(C192="","",N(H192)+N(I192))</f>
        <v/>
      </c>
      <c r="K192" s="10" t="str">
        <f aca="false">IF(C192="","",MIN(J192,پارامترها!$B$3))</f>
        <v/>
      </c>
      <c r="L192" s="10" t="str">
        <f aca="false">IF(C192="","",MAX(0,J192-پارامترها!$B$3))</f>
        <v/>
      </c>
      <c r="M192" s="11"/>
      <c r="N192" s="11"/>
      <c r="O192" s="11"/>
      <c r="P192" s="11"/>
      <c r="Q192" s="11"/>
      <c r="R192" s="12" t="str">
        <f aca="false">IF(OR(C192="",N(J192)=0),"",K192*2*(N(H192)*پارامترها!$B$4+N(I192)*پارامترها!$B$5)/J192)</f>
        <v/>
      </c>
      <c r="S192" s="12" t="str">
        <f aca="false">IF(C192="","",N(M192)*پارامترها!$B$6+N(N192)*پارامترها!$B$7+N(O192)*پارامترها!$B$8)</f>
        <v/>
      </c>
      <c r="T192" s="12" t="str">
        <f aca="false">IF(C192="","",N(R192)+N(S192))</f>
        <v/>
      </c>
      <c r="U192" s="10" t="str">
        <f aca="false">IF(C192="","",IF(P192&lt;&gt;"بله","ثبت نشده در HIS",IF(N(L192)&gt;0,"ثبت‌شده؛ مازاد بر سقف","ثبت‌شده")))</f>
        <v/>
      </c>
      <c r="V192" s="11"/>
    </row>
    <row r="193" customFormat="false" ht="15" hidden="false" customHeight="false" outlineLevel="0" collapsed="false">
      <c r="A193" s="10" t="str">
        <f aca="false">IF(C193="","",ROW()-3)</f>
        <v/>
      </c>
      <c r="B193" s="11"/>
      <c r="C193" s="11"/>
      <c r="D193" s="11"/>
      <c r="E193" s="11"/>
      <c r="F193" s="11"/>
      <c r="G193" s="11"/>
      <c r="H193" s="11"/>
      <c r="I193" s="11"/>
      <c r="J193" s="10" t="str">
        <f aca="false">IF(C193="","",N(H193)+N(I193))</f>
        <v/>
      </c>
      <c r="K193" s="10" t="str">
        <f aca="false">IF(C193="","",MIN(J193,پارامترها!$B$3))</f>
        <v/>
      </c>
      <c r="L193" s="10" t="str">
        <f aca="false">IF(C193="","",MAX(0,J193-پارامترها!$B$3))</f>
        <v/>
      </c>
      <c r="M193" s="11"/>
      <c r="N193" s="11"/>
      <c r="O193" s="11"/>
      <c r="P193" s="11"/>
      <c r="Q193" s="11"/>
      <c r="R193" s="12" t="str">
        <f aca="false">IF(OR(C193="",N(J193)=0),"",K193*2*(N(H193)*پارامترها!$B$4+N(I193)*پارامترها!$B$5)/J193)</f>
        <v/>
      </c>
      <c r="S193" s="12" t="str">
        <f aca="false">IF(C193="","",N(M193)*پارامترها!$B$6+N(N193)*پارامترها!$B$7+N(O193)*پارامترها!$B$8)</f>
        <v/>
      </c>
      <c r="T193" s="12" t="str">
        <f aca="false">IF(C193="","",N(R193)+N(S193))</f>
        <v/>
      </c>
      <c r="U193" s="10" t="str">
        <f aca="false">IF(C193="","",IF(P193&lt;&gt;"بله","ثبت نشده در HIS",IF(N(L193)&gt;0,"ثبت‌شده؛ مازاد بر سقف","ثبت‌شده")))</f>
        <v/>
      </c>
      <c r="V193" s="11"/>
    </row>
    <row r="194" customFormat="false" ht="15" hidden="false" customHeight="false" outlineLevel="0" collapsed="false">
      <c r="A194" s="10" t="str">
        <f aca="false">IF(C194="","",ROW()-3)</f>
        <v/>
      </c>
      <c r="B194" s="11"/>
      <c r="C194" s="11"/>
      <c r="D194" s="11"/>
      <c r="E194" s="11"/>
      <c r="F194" s="11"/>
      <c r="G194" s="11"/>
      <c r="H194" s="11"/>
      <c r="I194" s="11"/>
      <c r="J194" s="10" t="str">
        <f aca="false">IF(C194="","",N(H194)+N(I194))</f>
        <v/>
      </c>
      <c r="K194" s="10" t="str">
        <f aca="false">IF(C194="","",MIN(J194,پارامترها!$B$3))</f>
        <v/>
      </c>
      <c r="L194" s="10" t="str">
        <f aca="false">IF(C194="","",MAX(0,J194-پارامترها!$B$3))</f>
        <v/>
      </c>
      <c r="M194" s="11"/>
      <c r="N194" s="11"/>
      <c r="O194" s="11"/>
      <c r="P194" s="11"/>
      <c r="Q194" s="11"/>
      <c r="R194" s="12" t="str">
        <f aca="false">IF(OR(C194="",N(J194)=0),"",K194*2*(N(H194)*پارامترها!$B$4+N(I194)*پارامترها!$B$5)/J194)</f>
        <v/>
      </c>
      <c r="S194" s="12" t="str">
        <f aca="false">IF(C194="","",N(M194)*پارامترها!$B$6+N(N194)*پارامترها!$B$7+N(O194)*پارامترها!$B$8)</f>
        <v/>
      </c>
      <c r="T194" s="12" t="str">
        <f aca="false">IF(C194="","",N(R194)+N(S194))</f>
        <v/>
      </c>
      <c r="U194" s="10" t="str">
        <f aca="false">IF(C194="","",IF(P194&lt;&gt;"بله","ثبت نشده در HIS",IF(N(L194)&gt;0,"ثبت‌شده؛ مازاد بر سقف","ثبت‌شده")))</f>
        <v/>
      </c>
      <c r="V194" s="11"/>
    </row>
    <row r="195" customFormat="false" ht="15" hidden="false" customHeight="false" outlineLevel="0" collapsed="false">
      <c r="A195" s="10" t="str">
        <f aca="false">IF(C195="","",ROW()-3)</f>
        <v/>
      </c>
      <c r="B195" s="11"/>
      <c r="C195" s="11"/>
      <c r="D195" s="11"/>
      <c r="E195" s="11"/>
      <c r="F195" s="11"/>
      <c r="G195" s="11"/>
      <c r="H195" s="11"/>
      <c r="I195" s="11"/>
      <c r="J195" s="10" t="str">
        <f aca="false">IF(C195="","",N(H195)+N(I195))</f>
        <v/>
      </c>
      <c r="K195" s="10" t="str">
        <f aca="false">IF(C195="","",MIN(J195,پارامترها!$B$3))</f>
        <v/>
      </c>
      <c r="L195" s="10" t="str">
        <f aca="false">IF(C195="","",MAX(0,J195-پارامترها!$B$3))</f>
        <v/>
      </c>
      <c r="M195" s="11"/>
      <c r="N195" s="11"/>
      <c r="O195" s="11"/>
      <c r="P195" s="11"/>
      <c r="Q195" s="11"/>
      <c r="R195" s="12" t="str">
        <f aca="false">IF(OR(C195="",N(J195)=0),"",K195*2*(N(H195)*پارامترها!$B$4+N(I195)*پارامترها!$B$5)/J195)</f>
        <v/>
      </c>
      <c r="S195" s="12" t="str">
        <f aca="false">IF(C195="","",N(M195)*پارامترها!$B$6+N(N195)*پارامترها!$B$7+N(O195)*پارامترها!$B$8)</f>
        <v/>
      </c>
      <c r="T195" s="12" t="str">
        <f aca="false">IF(C195="","",N(R195)+N(S195))</f>
        <v/>
      </c>
      <c r="U195" s="10" t="str">
        <f aca="false">IF(C195="","",IF(P195&lt;&gt;"بله","ثبت نشده در HIS",IF(N(L195)&gt;0,"ثبت‌شده؛ مازاد بر سقف","ثبت‌شده")))</f>
        <v/>
      </c>
      <c r="V195" s="11"/>
    </row>
    <row r="196" customFormat="false" ht="15" hidden="false" customHeight="false" outlineLevel="0" collapsed="false">
      <c r="A196" s="10" t="str">
        <f aca="false">IF(C196="","",ROW()-3)</f>
        <v/>
      </c>
      <c r="B196" s="11"/>
      <c r="C196" s="11"/>
      <c r="D196" s="11"/>
      <c r="E196" s="11"/>
      <c r="F196" s="11"/>
      <c r="G196" s="11"/>
      <c r="H196" s="11"/>
      <c r="I196" s="11"/>
      <c r="J196" s="10" t="str">
        <f aca="false">IF(C196="","",N(H196)+N(I196))</f>
        <v/>
      </c>
      <c r="K196" s="10" t="str">
        <f aca="false">IF(C196="","",MIN(J196,پارامترها!$B$3))</f>
        <v/>
      </c>
      <c r="L196" s="10" t="str">
        <f aca="false">IF(C196="","",MAX(0,J196-پارامترها!$B$3))</f>
        <v/>
      </c>
      <c r="M196" s="11"/>
      <c r="N196" s="11"/>
      <c r="O196" s="11"/>
      <c r="P196" s="11"/>
      <c r="Q196" s="11"/>
      <c r="R196" s="12" t="str">
        <f aca="false">IF(OR(C196="",N(J196)=0),"",K196*2*(N(H196)*پارامترها!$B$4+N(I196)*پارامترها!$B$5)/J196)</f>
        <v/>
      </c>
      <c r="S196" s="12" t="str">
        <f aca="false">IF(C196="","",N(M196)*پارامترها!$B$6+N(N196)*پارامترها!$B$7+N(O196)*پارامترها!$B$8)</f>
        <v/>
      </c>
      <c r="T196" s="12" t="str">
        <f aca="false">IF(C196="","",N(R196)+N(S196))</f>
        <v/>
      </c>
      <c r="U196" s="10" t="str">
        <f aca="false">IF(C196="","",IF(P196&lt;&gt;"بله","ثبت نشده در HIS",IF(N(L196)&gt;0,"ثبت‌شده؛ مازاد بر سقف","ثبت‌شده")))</f>
        <v/>
      </c>
      <c r="V196" s="11"/>
    </row>
    <row r="197" customFormat="false" ht="15" hidden="false" customHeight="false" outlineLevel="0" collapsed="false">
      <c r="A197" s="10" t="str">
        <f aca="false">IF(C197="","",ROW()-3)</f>
        <v/>
      </c>
      <c r="B197" s="11"/>
      <c r="C197" s="11"/>
      <c r="D197" s="11"/>
      <c r="E197" s="11"/>
      <c r="F197" s="11"/>
      <c r="G197" s="11"/>
      <c r="H197" s="11"/>
      <c r="I197" s="11"/>
      <c r="J197" s="10" t="str">
        <f aca="false">IF(C197="","",N(H197)+N(I197))</f>
        <v/>
      </c>
      <c r="K197" s="10" t="str">
        <f aca="false">IF(C197="","",MIN(J197,پارامترها!$B$3))</f>
        <v/>
      </c>
      <c r="L197" s="10" t="str">
        <f aca="false">IF(C197="","",MAX(0,J197-پارامترها!$B$3))</f>
        <v/>
      </c>
      <c r="M197" s="11"/>
      <c r="N197" s="11"/>
      <c r="O197" s="11"/>
      <c r="P197" s="11"/>
      <c r="Q197" s="11"/>
      <c r="R197" s="12" t="str">
        <f aca="false">IF(OR(C197="",N(J197)=0),"",K197*2*(N(H197)*پارامترها!$B$4+N(I197)*پارامترها!$B$5)/J197)</f>
        <v/>
      </c>
      <c r="S197" s="12" t="str">
        <f aca="false">IF(C197="","",N(M197)*پارامترها!$B$6+N(N197)*پارامترها!$B$7+N(O197)*پارامترها!$B$8)</f>
        <v/>
      </c>
      <c r="T197" s="12" t="str">
        <f aca="false">IF(C197="","",N(R197)+N(S197))</f>
        <v/>
      </c>
      <c r="U197" s="10" t="str">
        <f aca="false">IF(C197="","",IF(P197&lt;&gt;"بله","ثبت نشده در HIS",IF(N(L197)&gt;0,"ثبت‌شده؛ مازاد بر سقف","ثبت‌شده")))</f>
        <v/>
      </c>
      <c r="V197" s="11"/>
    </row>
    <row r="198" customFormat="false" ht="15" hidden="false" customHeight="false" outlineLevel="0" collapsed="false">
      <c r="A198" s="10" t="str">
        <f aca="false">IF(C198="","",ROW()-3)</f>
        <v/>
      </c>
      <c r="B198" s="11"/>
      <c r="C198" s="11"/>
      <c r="D198" s="11"/>
      <c r="E198" s="11"/>
      <c r="F198" s="11"/>
      <c r="G198" s="11"/>
      <c r="H198" s="11"/>
      <c r="I198" s="11"/>
      <c r="J198" s="10" t="str">
        <f aca="false">IF(C198="","",N(H198)+N(I198))</f>
        <v/>
      </c>
      <c r="K198" s="10" t="str">
        <f aca="false">IF(C198="","",MIN(J198,پارامترها!$B$3))</f>
        <v/>
      </c>
      <c r="L198" s="10" t="str">
        <f aca="false">IF(C198="","",MAX(0,J198-پارامترها!$B$3))</f>
        <v/>
      </c>
      <c r="M198" s="11"/>
      <c r="N198" s="11"/>
      <c r="O198" s="11"/>
      <c r="P198" s="11"/>
      <c r="Q198" s="11"/>
      <c r="R198" s="12" t="str">
        <f aca="false">IF(OR(C198="",N(J198)=0),"",K198*2*(N(H198)*پارامترها!$B$4+N(I198)*پارامترها!$B$5)/J198)</f>
        <v/>
      </c>
      <c r="S198" s="12" t="str">
        <f aca="false">IF(C198="","",N(M198)*پارامترها!$B$6+N(N198)*پارامترها!$B$7+N(O198)*پارامترها!$B$8)</f>
        <v/>
      </c>
      <c r="T198" s="12" t="str">
        <f aca="false">IF(C198="","",N(R198)+N(S198))</f>
        <v/>
      </c>
      <c r="U198" s="10" t="str">
        <f aca="false">IF(C198="","",IF(P198&lt;&gt;"بله","ثبت نشده در HIS",IF(N(L198)&gt;0,"ثبت‌شده؛ مازاد بر سقف","ثبت‌شده")))</f>
        <v/>
      </c>
      <c r="V198" s="11"/>
    </row>
    <row r="199" customFormat="false" ht="15" hidden="false" customHeight="false" outlineLevel="0" collapsed="false">
      <c r="A199" s="10" t="str">
        <f aca="false">IF(C199="","",ROW()-3)</f>
        <v/>
      </c>
      <c r="B199" s="11"/>
      <c r="C199" s="11"/>
      <c r="D199" s="11"/>
      <c r="E199" s="11"/>
      <c r="F199" s="11"/>
      <c r="G199" s="11"/>
      <c r="H199" s="11"/>
      <c r="I199" s="11"/>
      <c r="J199" s="10" t="str">
        <f aca="false">IF(C199="","",N(H199)+N(I199))</f>
        <v/>
      </c>
      <c r="K199" s="10" t="str">
        <f aca="false">IF(C199="","",MIN(J199,پارامترها!$B$3))</f>
        <v/>
      </c>
      <c r="L199" s="10" t="str">
        <f aca="false">IF(C199="","",MAX(0,J199-پارامترها!$B$3))</f>
        <v/>
      </c>
      <c r="M199" s="11"/>
      <c r="N199" s="11"/>
      <c r="O199" s="11"/>
      <c r="P199" s="11"/>
      <c r="Q199" s="11"/>
      <c r="R199" s="12" t="str">
        <f aca="false">IF(OR(C199="",N(J199)=0),"",K199*2*(N(H199)*پارامترها!$B$4+N(I199)*پارامترها!$B$5)/J199)</f>
        <v/>
      </c>
      <c r="S199" s="12" t="str">
        <f aca="false">IF(C199="","",N(M199)*پارامترها!$B$6+N(N199)*پارامترها!$B$7+N(O199)*پارامترها!$B$8)</f>
        <v/>
      </c>
      <c r="T199" s="12" t="str">
        <f aca="false">IF(C199="","",N(R199)+N(S199))</f>
        <v/>
      </c>
      <c r="U199" s="10" t="str">
        <f aca="false">IF(C199="","",IF(P199&lt;&gt;"بله","ثبت نشده در HIS",IF(N(L199)&gt;0,"ثبت‌شده؛ مازاد بر سقف","ثبت‌شده")))</f>
        <v/>
      </c>
      <c r="V199" s="11"/>
    </row>
    <row r="200" customFormat="false" ht="15" hidden="false" customHeight="false" outlineLevel="0" collapsed="false">
      <c r="A200" s="10" t="str">
        <f aca="false">IF(C200="","",ROW()-3)</f>
        <v/>
      </c>
      <c r="B200" s="11"/>
      <c r="C200" s="11"/>
      <c r="D200" s="11"/>
      <c r="E200" s="11"/>
      <c r="F200" s="11"/>
      <c r="G200" s="11"/>
      <c r="H200" s="11"/>
      <c r="I200" s="11"/>
      <c r="J200" s="10" t="str">
        <f aca="false">IF(C200="","",N(H200)+N(I200))</f>
        <v/>
      </c>
      <c r="K200" s="10" t="str">
        <f aca="false">IF(C200="","",MIN(J200,پارامترها!$B$3))</f>
        <v/>
      </c>
      <c r="L200" s="10" t="str">
        <f aca="false">IF(C200="","",MAX(0,J200-پارامترها!$B$3))</f>
        <v/>
      </c>
      <c r="M200" s="11"/>
      <c r="N200" s="11"/>
      <c r="O200" s="11"/>
      <c r="P200" s="11"/>
      <c r="Q200" s="11"/>
      <c r="R200" s="12" t="str">
        <f aca="false">IF(OR(C200="",N(J200)=0),"",K200*2*(N(H200)*پارامترها!$B$4+N(I200)*پارامترها!$B$5)/J200)</f>
        <v/>
      </c>
      <c r="S200" s="12" t="str">
        <f aca="false">IF(C200="","",N(M200)*پارامترها!$B$6+N(N200)*پارامترها!$B$7+N(O200)*پارامترها!$B$8)</f>
        <v/>
      </c>
      <c r="T200" s="12" t="str">
        <f aca="false">IF(C200="","",N(R200)+N(S200))</f>
        <v/>
      </c>
      <c r="U200" s="10" t="str">
        <f aca="false">IF(C200="","",IF(P200&lt;&gt;"بله","ثبت نشده در HIS",IF(N(L200)&gt;0,"ثبت‌شده؛ مازاد بر سقف","ثبت‌شده")))</f>
        <v/>
      </c>
      <c r="V200" s="11"/>
    </row>
    <row r="201" customFormat="false" ht="15" hidden="false" customHeight="false" outlineLevel="0" collapsed="false">
      <c r="A201" s="10" t="str">
        <f aca="false">IF(C201="","",ROW()-3)</f>
        <v/>
      </c>
      <c r="B201" s="11"/>
      <c r="C201" s="11"/>
      <c r="D201" s="11"/>
      <c r="E201" s="11"/>
      <c r="F201" s="11"/>
      <c r="G201" s="11"/>
      <c r="H201" s="11"/>
      <c r="I201" s="11"/>
      <c r="J201" s="10" t="str">
        <f aca="false">IF(C201="","",N(H201)+N(I201))</f>
        <v/>
      </c>
      <c r="K201" s="10" t="str">
        <f aca="false">IF(C201="","",MIN(J201,پارامترها!$B$3))</f>
        <v/>
      </c>
      <c r="L201" s="10" t="str">
        <f aca="false">IF(C201="","",MAX(0,J201-پارامترها!$B$3))</f>
        <v/>
      </c>
      <c r="M201" s="11"/>
      <c r="N201" s="11"/>
      <c r="O201" s="11"/>
      <c r="P201" s="11"/>
      <c r="Q201" s="11"/>
      <c r="R201" s="12" t="str">
        <f aca="false">IF(OR(C201="",N(J201)=0),"",K201*2*(N(H201)*پارامترها!$B$4+N(I201)*پارامترها!$B$5)/J201)</f>
        <v/>
      </c>
      <c r="S201" s="12" t="str">
        <f aca="false">IF(C201="","",N(M201)*پارامترها!$B$6+N(N201)*پارامترها!$B$7+N(O201)*پارامترها!$B$8)</f>
        <v/>
      </c>
      <c r="T201" s="12" t="str">
        <f aca="false">IF(C201="","",N(R201)+N(S201))</f>
        <v/>
      </c>
      <c r="U201" s="10" t="str">
        <f aca="false">IF(C201="","",IF(P201&lt;&gt;"بله","ثبت نشده در HIS",IF(N(L201)&gt;0,"ثبت‌شده؛ مازاد بر سقف","ثبت‌شده")))</f>
        <v/>
      </c>
      <c r="V201" s="11"/>
    </row>
    <row r="202" customFormat="false" ht="15" hidden="false" customHeight="false" outlineLevel="0" collapsed="false">
      <c r="A202" s="10" t="str">
        <f aca="false">IF(C202="","",ROW()-3)</f>
        <v/>
      </c>
      <c r="B202" s="11"/>
      <c r="C202" s="11"/>
      <c r="D202" s="11"/>
      <c r="E202" s="11"/>
      <c r="F202" s="11"/>
      <c r="G202" s="11"/>
      <c r="H202" s="11"/>
      <c r="I202" s="11"/>
      <c r="J202" s="10" t="str">
        <f aca="false">IF(C202="","",N(H202)+N(I202))</f>
        <v/>
      </c>
      <c r="K202" s="10" t="str">
        <f aca="false">IF(C202="","",MIN(J202,پارامترها!$B$3))</f>
        <v/>
      </c>
      <c r="L202" s="10" t="str">
        <f aca="false">IF(C202="","",MAX(0,J202-پارامترها!$B$3))</f>
        <v/>
      </c>
      <c r="M202" s="11"/>
      <c r="N202" s="11"/>
      <c r="O202" s="11"/>
      <c r="P202" s="11"/>
      <c r="Q202" s="11"/>
      <c r="R202" s="12" t="str">
        <f aca="false">IF(OR(C202="",N(J202)=0),"",K202*2*(N(H202)*پارامترها!$B$4+N(I202)*پارامترها!$B$5)/J202)</f>
        <v/>
      </c>
      <c r="S202" s="12" t="str">
        <f aca="false">IF(C202="","",N(M202)*پارامترها!$B$6+N(N202)*پارامترها!$B$7+N(O202)*پارامترها!$B$8)</f>
        <v/>
      </c>
      <c r="T202" s="12" t="str">
        <f aca="false">IF(C202="","",N(R202)+N(S202))</f>
        <v/>
      </c>
      <c r="U202" s="10" t="str">
        <f aca="false">IF(C202="","",IF(P202&lt;&gt;"بله","ثبت نشده در HIS",IF(N(L202)&gt;0,"ثبت‌شده؛ مازاد بر سقف","ثبت‌شده")))</f>
        <v/>
      </c>
      <c r="V202" s="11"/>
    </row>
    <row r="203" customFormat="false" ht="15" hidden="false" customHeight="false" outlineLevel="0" collapsed="false">
      <c r="A203" s="10" t="str">
        <f aca="false">IF(C203="","",ROW()-3)</f>
        <v/>
      </c>
      <c r="B203" s="11"/>
      <c r="C203" s="11"/>
      <c r="D203" s="11"/>
      <c r="E203" s="11"/>
      <c r="F203" s="11"/>
      <c r="G203" s="11"/>
      <c r="H203" s="11"/>
      <c r="I203" s="11"/>
      <c r="J203" s="10" t="str">
        <f aca="false">IF(C203="","",N(H203)+N(I203))</f>
        <v/>
      </c>
      <c r="K203" s="10" t="str">
        <f aca="false">IF(C203="","",MIN(J203,پارامترها!$B$3))</f>
        <v/>
      </c>
      <c r="L203" s="10" t="str">
        <f aca="false">IF(C203="","",MAX(0,J203-پارامترها!$B$3))</f>
        <v/>
      </c>
      <c r="M203" s="11"/>
      <c r="N203" s="11"/>
      <c r="O203" s="11"/>
      <c r="P203" s="11"/>
      <c r="Q203" s="11"/>
      <c r="R203" s="12" t="str">
        <f aca="false">IF(OR(C203="",N(J203)=0),"",K203*2*(N(H203)*پارامترها!$B$4+N(I203)*پارامترها!$B$5)/J203)</f>
        <v/>
      </c>
      <c r="S203" s="12" t="str">
        <f aca="false">IF(C203="","",N(M203)*پارامترها!$B$6+N(N203)*پارامترها!$B$7+N(O203)*پارامترها!$B$8)</f>
        <v/>
      </c>
      <c r="T203" s="12" t="str">
        <f aca="false">IF(C203="","",N(R203)+N(S203))</f>
        <v/>
      </c>
      <c r="U203" s="10" t="str">
        <f aca="false">IF(C203="","",IF(P203&lt;&gt;"بله","ثبت نشده در HIS",IF(N(L203)&gt;0,"ثبت‌شده؛ مازاد بر سقف","ثبت‌شده")))</f>
        <v/>
      </c>
      <c r="V203" s="11"/>
    </row>
    <row r="204" customFormat="false" ht="15" hidden="false" customHeight="false" outlineLevel="0" collapsed="false">
      <c r="A204" s="10" t="str">
        <f aca="false">IF(C204="","",ROW()-3)</f>
        <v/>
      </c>
      <c r="B204" s="11"/>
      <c r="C204" s="11"/>
      <c r="D204" s="11"/>
      <c r="E204" s="11"/>
      <c r="F204" s="11"/>
      <c r="G204" s="11"/>
      <c r="H204" s="11"/>
      <c r="I204" s="11"/>
      <c r="J204" s="10" t="str">
        <f aca="false">IF(C204="","",N(H204)+N(I204))</f>
        <v/>
      </c>
      <c r="K204" s="10" t="str">
        <f aca="false">IF(C204="","",MIN(J204,پارامترها!$B$3))</f>
        <v/>
      </c>
      <c r="L204" s="10" t="str">
        <f aca="false">IF(C204="","",MAX(0,J204-پارامترها!$B$3))</f>
        <v/>
      </c>
      <c r="M204" s="11"/>
      <c r="N204" s="11"/>
      <c r="O204" s="11"/>
      <c r="P204" s="11"/>
      <c r="Q204" s="11"/>
      <c r="R204" s="12" t="str">
        <f aca="false">IF(OR(C204="",N(J204)=0),"",K204*2*(N(H204)*پارامترها!$B$4+N(I204)*پارامترها!$B$5)/J204)</f>
        <v/>
      </c>
      <c r="S204" s="12" t="str">
        <f aca="false">IF(C204="","",N(M204)*پارامترها!$B$6+N(N204)*پارامترها!$B$7+N(O204)*پارامترها!$B$8)</f>
        <v/>
      </c>
      <c r="T204" s="12" t="str">
        <f aca="false">IF(C204="","",N(R204)+N(S204))</f>
        <v/>
      </c>
      <c r="U204" s="10" t="str">
        <f aca="false">IF(C204="","",IF(P204&lt;&gt;"بله","ثبت نشده در HIS",IF(N(L204)&gt;0,"ثبت‌شده؛ مازاد بر سقف","ثبت‌شده")))</f>
        <v/>
      </c>
      <c r="V204" s="11"/>
    </row>
    <row r="205" customFormat="false" ht="15" hidden="false" customHeight="false" outlineLevel="0" collapsed="false">
      <c r="A205" s="10" t="str">
        <f aca="false">IF(C205="","",ROW()-3)</f>
        <v/>
      </c>
      <c r="B205" s="11"/>
      <c r="C205" s="11"/>
      <c r="D205" s="11"/>
      <c r="E205" s="11"/>
      <c r="F205" s="11"/>
      <c r="G205" s="11"/>
      <c r="H205" s="11"/>
      <c r="I205" s="11"/>
      <c r="J205" s="10" t="str">
        <f aca="false">IF(C205="","",N(H205)+N(I205))</f>
        <v/>
      </c>
      <c r="K205" s="10" t="str">
        <f aca="false">IF(C205="","",MIN(J205,پارامترها!$B$3))</f>
        <v/>
      </c>
      <c r="L205" s="10" t="str">
        <f aca="false">IF(C205="","",MAX(0,J205-پارامترها!$B$3))</f>
        <v/>
      </c>
      <c r="M205" s="11"/>
      <c r="N205" s="11"/>
      <c r="O205" s="11"/>
      <c r="P205" s="11"/>
      <c r="Q205" s="11"/>
      <c r="R205" s="12" t="str">
        <f aca="false">IF(OR(C205="",N(J205)=0),"",K205*2*(N(H205)*پارامترها!$B$4+N(I205)*پارامترها!$B$5)/J205)</f>
        <v/>
      </c>
      <c r="S205" s="12" t="str">
        <f aca="false">IF(C205="","",N(M205)*پارامترها!$B$6+N(N205)*پارامترها!$B$7+N(O205)*پارامترها!$B$8)</f>
        <v/>
      </c>
      <c r="T205" s="12" t="str">
        <f aca="false">IF(C205="","",N(R205)+N(S205))</f>
        <v/>
      </c>
      <c r="U205" s="10" t="str">
        <f aca="false">IF(C205="","",IF(P205&lt;&gt;"بله","ثبت نشده در HIS",IF(N(L205)&gt;0,"ثبت‌شده؛ مازاد بر سقف","ثبت‌شده")))</f>
        <v/>
      </c>
      <c r="V205" s="11"/>
    </row>
    <row r="206" customFormat="false" ht="15" hidden="false" customHeight="false" outlineLevel="0" collapsed="false">
      <c r="A206" s="10" t="str">
        <f aca="false">IF(C206="","",ROW()-3)</f>
        <v/>
      </c>
      <c r="B206" s="11"/>
      <c r="C206" s="11"/>
      <c r="D206" s="11"/>
      <c r="E206" s="11"/>
      <c r="F206" s="11"/>
      <c r="G206" s="11"/>
      <c r="H206" s="11"/>
      <c r="I206" s="11"/>
      <c r="J206" s="10" t="str">
        <f aca="false">IF(C206="","",N(H206)+N(I206))</f>
        <v/>
      </c>
      <c r="K206" s="10" t="str">
        <f aca="false">IF(C206="","",MIN(J206,پارامترها!$B$3))</f>
        <v/>
      </c>
      <c r="L206" s="10" t="str">
        <f aca="false">IF(C206="","",MAX(0,J206-پارامترها!$B$3))</f>
        <v/>
      </c>
      <c r="M206" s="11"/>
      <c r="N206" s="11"/>
      <c r="O206" s="11"/>
      <c r="P206" s="11"/>
      <c r="Q206" s="11"/>
      <c r="R206" s="12" t="str">
        <f aca="false">IF(OR(C206="",N(J206)=0),"",K206*2*(N(H206)*پارامترها!$B$4+N(I206)*پارامترها!$B$5)/J206)</f>
        <v/>
      </c>
      <c r="S206" s="12" t="str">
        <f aca="false">IF(C206="","",N(M206)*پارامترها!$B$6+N(N206)*پارامترها!$B$7+N(O206)*پارامترها!$B$8)</f>
        <v/>
      </c>
      <c r="T206" s="12" t="str">
        <f aca="false">IF(C206="","",N(R206)+N(S206))</f>
        <v/>
      </c>
      <c r="U206" s="10" t="str">
        <f aca="false">IF(C206="","",IF(P206&lt;&gt;"بله","ثبت نشده در HIS",IF(N(L206)&gt;0,"ثبت‌شده؛ مازاد بر سقف","ثبت‌شده")))</f>
        <v/>
      </c>
      <c r="V206" s="11"/>
    </row>
    <row r="207" customFormat="false" ht="15" hidden="false" customHeight="false" outlineLevel="0" collapsed="false">
      <c r="A207" s="10" t="str">
        <f aca="false">IF(C207="","",ROW()-3)</f>
        <v/>
      </c>
      <c r="B207" s="11"/>
      <c r="C207" s="11"/>
      <c r="D207" s="11"/>
      <c r="E207" s="11"/>
      <c r="F207" s="11"/>
      <c r="G207" s="11"/>
      <c r="H207" s="11"/>
      <c r="I207" s="11"/>
      <c r="J207" s="10" t="str">
        <f aca="false">IF(C207="","",N(H207)+N(I207))</f>
        <v/>
      </c>
      <c r="K207" s="10" t="str">
        <f aca="false">IF(C207="","",MIN(J207,پارامترها!$B$3))</f>
        <v/>
      </c>
      <c r="L207" s="10" t="str">
        <f aca="false">IF(C207="","",MAX(0,J207-پارامترها!$B$3))</f>
        <v/>
      </c>
      <c r="M207" s="11"/>
      <c r="N207" s="11"/>
      <c r="O207" s="11"/>
      <c r="P207" s="11"/>
      <c r="Q207" s="11"/>
      <c r="R207" s="12" t="str">
        <f aca="false">IF(OR(C207="",N(J207)=0),"",K207*2*(N(H207)*پارامترها!$B$4+N(I207)*پارامترها!$B$5)/J207)</f>
        <v/>
      </c>
      <c r="S207" s="12" t="str">
        <f aca="false">IF(C207="","",N(M207)*پارامترها!$B$6+N(N207)*پارامترها!$B$7+N(O207)*پارامترها!$B$8)</f>
        <v/>
      </c>
      <c r="T207" s="12" t="str">
        <f aca="false">IF(C207="","",N(R207)+N(S207))</f>
        <v/>
      </c>
      <c r="U207" s="10" t="str">
        <f aca="false">IF(C207="","",IF(P207&lt;&gt;"بله","ثبت نشده در HIS",IF(N(L207)&gt;0,"ثبت‌شده؛ مازاد بر سقف","ثبت‌شده")))</f>
        <v/>
      </c>
      <c r="V207" s="11"/>
    </row>
    <row r="208" customFormat="false" ht="15" hidden="false" customHeight="false" outlineLevel="0" collapsed="false">
      <c r="A208" s="10" t="str">
        <f aca="false">IF(C208="","",ROW()-3)</f>
        <v/>
      </c>
      <c r="B208" s="11"/>
      <c r="C208" s="11"/>
      <c r="D208" s="11"/>
      <c r="E208" s="11"/>
      <c r="F208" s="11"/>
      <c r="G208" s="11"/>
      <c r="H208" s="11"/>
      <c r="I208" s="11"/>
      <c r="J208" s="10" t="str">
        <f aca="false">IF(C208="","",N(H208)+N(I208))</f>
        <v/>
      </c>
      <c r="K208" s="10" t="str">
        <f aca="false">IF(C208="","",MIN(J208,پارامترها!$B$3))</f>
        <v/>
      </c>
      <c r="L208" s="10" t="str">
        <f aca="false">IF(C208="","",MAX(0,J208-پارامترها!$B$3))</f>
        <v/>
      </c>
      <c r="M208" s="11"/>
      <c r="N208" s="11"/>
      <c r="O208" s="11"/>
      <c r="P208" s="11"/>
      <c r="Q208" s="11"/>
      <c r="R208" s="12" t="str">
        <f aca="false">IF(OR(C208="",N(J208)=0),"",K208*2*(N(H208)*پارامترها!$B$4+N(I208)*پارامترها!$B$5)/J208)</f>
        <v/>
      </c>
      <c r="S208" s="12" t="str">
        <f aca="false">IF(C208="","",N(M208)*پارامترها!$B$6+N(N208)*پارامترها!$B$7+N(O208)*پارامترها!$B$8)</f>
        <v/>
      </c>
      <c r="T208" s="12" t="str">
        <f aca="false">IF(C208="","",N(R208)+N(S208))</f>
        <v/>
      </c>
      <c r="U208" s="10" t="str">
        <f aca="false">IF(C208="","",IF(P208&lt;&gt;"بله","ثبت نشده در HIS",IF(N(L208)&gt;0,"ثبت‌شده؛ مازاد بر سقف","ثبت‌شده")))</f>
        <v/>
      </c>
      <c r="V208" s="11"/>
    </row>
    <row r="209" customFormat="false" ht="15" hidden="false" customHeight="false" outlineLevel="0" collapsed="false">
      <c r="A209" s="10" t="str">
        <f aca="false">IF(C209="","",ROW()-3)</f>
        <v/>
      </c>
      <c r="B209" s="11"/>
      <c r="C209" s="11"/>
      <c r="D209" s="11"/>
      <c r="E209" s="11"/>
      <c r="F209" s="11"/>
      <c r="G209" s="11"/>
      <c r="H209" s="11"/>
      <c r="I209" s="11"/>
      <c r="J209" s="10" t="str">
        <f aca="false">IF(C209="","",N(H209)+N(I209))</f>
        <v/>
      </c>
      <c r="K209" s="10" t="str">
        <f aca="false">IF(C209="","",MIN(J209,پارامترها!$B$3))</f>
        <v/>
      </c>
      <c r="L209" s="10" t="str">
        <f aca="false">IF(C209="","",MAX(0,J209-پارامترها!$B$3))</f>
        <v/>
      </c>
      <c r="M209" s="11"/>
      <c r="N209" s="11"/>
      <c r="O209" s="11"/>
      <c r="P209" s="11"/>
      <c r="Q209" s="11"/>
      <c r="R209" s="12" t="str">
        <f aca="false">IF(OR(C209="",N(J209)=0),"",K209*2*(N(H209)*پارامترها!$B$4+N(I209)*پارامترها!$B$5)/J209)</f>
        <v/>
      </c>
      <c r="S209" s="12" t="str">
        <f aca="false">IF(C209="","",N(M209)*پارامترها!$B$6+N(N209)*پارامترها!$B$7+N(O209)*پارامترها!$B$8)</f>
        <v/>
      </c>
      <c r="T209" s="12" t="str">
        <f aca="false">IF(C209="","",N(R209)+N(S209))</f>
        <v/>
      </c>
      <c r="U209" s="10" t="str">
        <f aca="false">IF(C209="","",IF(P209&lt;&gt;"بله","ثبت نشده در HIS",IF(N(L209)&gt;0,"ثبت‌شده؛ مازاد بر سقف","ثبت‌شده")))</f>
        <v/>
      </c>
      <c r="V209" s="11"/>
    </row>
    <row r="210" customFormat="false" ht="15" hidden="false" customHeight="false" outlineLevel="0" collapsed="false">
      <c r="A210" s="10" t="str">
        <f aca="false">IF(C210="","",ROW()-3)</f>
        <v/>
      </c>
      <c r="B210" s="11"/>
      <c r="C210" s="11"/>
      <c r="D210" s="11"/>
      <c r="E210" s="11"/>
      <c r="F210" s="11"/>
      <c r="G210" s="11"/>
      <c r="H210" s="11"/>
      <c r="I210" s="11"/>
      <c r="J210" s="10" t="str">
        <f aca="false">IF(C210="","",N(H210)+N(I210))</f>
        <v/>
      </c>
      <c r="K210" s="10" t="str">
        <f aca="false">IF(C210="","",MIN(J210,پارامترها!$B$3))</f>
        <v/>
      </c>
      <c r="L210" s="10" t="str">
        <f aca="false">IF(C210="","",MAX(0,J210-پارامترها!$B$3))</f>
        <v/>
      </c>
      <c r="M210" s="11"/>
      <c r="N210" s="11"/>
      <c r="O210" s="11"/>
      <c r="P210" s="11"/>
      <c r="Q210" s="11"/>
      <c r="R210" s="12" t="str">
        <f aca="false">IF(OR(C210="",N(J210)=0),"",K210*2*(N(H210)*پارامترها!$B$4+N(I210)*پارامترها!$B$5)/J210)</f>
        <v/>
      </c>
      <c r="S210" s="12" t="str">
        <f aca="false">IF(C210="","",N(M210)*پارامترها!$B$6+N(N210)*پارامترها!$B$7+N(O210)*پارامترها!$B$8)</f>
        <v/>
      </c>
      <c r="T210" s="12" t="str">
        <f aca="false">IF(C210="","",N(R210)+N(S210))</f>
        <v/>
      </c>
      <c r="U210" s="10" t="str">
        <f aca="false">IF(C210="","",IF(P210&lt;&gt;"بله","ثبت نشده در HIS",IF(N(L210)&gt;0,"ثبت‌شده؛ مازاد بر سقف","ثبت‌شده")))</f>
        <v/>
      </c>
      <c r="V210" s="11"/>
    </row>
    <row r="211" customFormat="false" ht="15" hidden="false" customHeight="false" outlineLevel="0" collapsed="false">
      <c r="A211" s="10" t="str">
        <f aca="false">IF(C211="","",ROW()-3)</f>
        <v/>
      </c>
      <c r="B211" s="11"/>
      <c r="C211" s="11"/>
      <c r="D211" s="11"/>
      <c r="E211" s="11"/>
      <c r="F211" s="11"/>
      <c r="G211" s="11"/>
      <c r="H211" s="11"/>
      <c r="I211" s="11"/>
      <c r="J211" s="10" t="str">
        <f aca="false">IF(C211="","",N(H211)+N(I211))</f>
        <v/>
      </c>
      <c r="K211" s="10" t="str">
        <f aca="false">IF(C211="","",MIN(J211,پارامترها!$B$3))</f>
        <v/>
      </c>
      <c r="L211" s="10" t="str">
        <f aca="false">IF(C211="","",MAX(0,J211-پارامترها!$B$3))</f>
        <v/>
      </c>
      <c r="M211" s="11"/>
      <c r="N211" s="11"/>
      <c r="O211" s="11"/>
      <c r="P211" s="11"/>
      <c r="Q211" s="11"/>
      <c r="R211" s="12" t="str">
        <f aca="false">IF(OR(C211="",N(J211)=0),"",K211*2*(N(H211)*پارامترها!$B$4+N(I211)*پارامترها!$B$5)/J211)</f>
        <v/>
      </c>
      <c r="S211" s="12" t="str">
        <f aca="false">IF(C211="","",N(M211)*پارامترها!$B$6+N(N211)*پارامترها!$B$7+N(O211)*پارامترها!$B$8)</f>
        <v/>
      </c>
      <c r="T211" s="12" t="str">
        <f aca="false">IF(C211="","",N(R211)+N(S211))</f>
        <v/>
      </c>
      <c r="U211" s="10" t="str">
        <f aca="false">IF(C211="","",IF(P211&lt;&gt;"بله","ثبت نشده در HIS",IF(N(L211)&gt;0,"ثبت‌شده؛ مازاد بر سقف","ثبت‌شده")))</f>
        <v/>
      </c>
      <c r="V211" s="11"/>
    </row>
    <row r="212" customFormat="false" ht="15" hidden="false" customHeight="false" outlineLevel="0" collapsed="false">
      <c r="A212" s="10" t="str">
        <f aca="false">IF(C212="","",ROW()-3)</f>
        <v/>
      </c>
      <c r="B212" s="11"/>
      <c r="C212" s="11"/>
      <c r="D212" s="11"/>
      <c r="E212" s="11"/>
      <c r="F212" s="11"/>
      <c r="G212" s="11"/>
      <c r="H212" s="11"/>
      <c r="I212" s="11"/>
      <c r="J212" s="10" t="str">
        <f aca="false">IF(C212="","",N(H212)+N(I212))</f>
        <v/>
      </c>
      <c r="K212" s="10" t="str">
        <f aca="false">IF(C212="","",MIN(J212,پارامترها!$B$3))</f>
        <v/>
      </c>
      <c r="L212" s="10" t="str">
        <f aca="false">IF(C212="","",MAX(0,J212-پارامترها!$B$3))</f>
        <v/>
      </c>
      <c r="M212" s="11"/>
      <c r="N212" s="11"/>
      <c r="O212" s="11"/>
      <c r="P212" s="11"/>
      <c r="Q212" s="11"/>
      <c r="R212" s="12" t="str">
        <f aca="false">IF(OR(C212="",N(J212)=0),"",K212*2*(N(H212)*پارامترها!$B$4+N(I212)*پارامترها!$B$5)/J212)</f>
        <v/>
      </c>
      <c r="S212" s="12" t="str">
        <f aca="false">IF(C212="","",N(M212)*پارامترها!$B$6+N(N212)*پارامترها!$B$7+N(O212)*پارامترها!$B$8)</f>
        <v/>
      </c>
      <c r="T212" s="12" t="str">
        <f aca="false">IF(C212="","",N(R212)+N(S212))</f>
        <v/>
      </c>
      <c r="U212" s="10" t="str">
        <f aca="false">IF(C212="","",IF(P212&lt;&gt;"بله","ثبت نشده در HIS",IF(N(L212)&gt;0,"ثبت‌شده؛ مازاد بر سقف","ثبت‌شده")))</f>
        <v/>
      </c>
      <c r="V212" s="11"/>
    </row>
    <row r="213" customFormat="false" ht="15" hidden="false" customHeight="false" outlineLevel="0" collapsed="false">
      <c r="A213" s="10" t="str">
        <f aca="false">IF(C213="","",ROW()-3)</f>
        <v/>
      </c>
      <c r="B213" s="11"/>
      <c r="C213" s="11"/>
      <c r="D213" s="11"/>
      <c r="E213" s="11"/>
      <c r="F213" s="11"/>
      <c r="G213" s="11"/>
      <c r="H213" s="11"/>
      <c r="I213" s="11"/>
      <c r="J213" s="10" t="str">
        <f aca="false">IF(C213="","",N(H213)+N(I213))</f>
        <v/>
      </c>
      <c r="K213" s="10" t="str">
        <f aca="false">IF(C213="","",MIN(J213,پارامترها!$B$3))</f>
        <v/>
      </c>
      <c r="L213" s="10" t="str">
        <f aca="false">IF(C213="","",MAX(0,J213-پارامترها!$B$3))</f>
        <v/>
      </c>
      <c r="M213" s="11"/>
      <c r="N213" s="11"/>
      <c r="O213" s="11"/>
      <c r="P213" s="11"/>
      <c r="Q213" s="11"/>
      <c r="R213" s="12" t="str">
        <f aca="false">IF(OR(C213="",N(J213)=0),"",K213*2*(N(H213)*پارامترها!$B$4+N(I213)*پارامترها!$B$5)/J213)</f>
        <v/>
      </c>
      <c r="S213" s="12" t="str">
        <f aca="false">IF(C213="","",N(M213)*پارامترها!$B$6+N(N213)*پارامترها!$B$7+N(O213)*پارامترها!$B$8)</f>
        <v/>
      </c>
      <c r="T213" s="12" t="str">
        <f aca="false">IF(C213="","",N(R213)+N(S213))</f>
        <v/>
      </c>
      <c r="U213" s="10" t="str">
        <f aca="false">IF(C213="","",IF(P213&lt;&gt;"بله","ثبت نشده در HIS",IF(N(L213)&gt;0,"ثبت‌شده؛ مازاد بر سقف","ثبت‌شده")))</f>
        <v/>
      </c>
      <c r="V213" s="11"/>
    </row>
    <row r="214" customFormat="false" ht="15" hidden="false" customHeight="false" outlineLevel="0" collapsed="false">
      <c r="A214" s="10" t="str">
        <f aca="false">IF(C214="","",ROW()-3)</f>
        <v/>
      </c>
      <c r="B214" s="11"/>
      <c r="C214" s="11"/>
      <c r="D214" s="11"/>
      <c r="E214" s="11"/>
      <c r="F214" s="11"/>
      <c r="G214" s="11"/>
      <c r="H214" s="11"/>
      <c r="I214" s="11"/>
      <c r="J214" s="10" t="str">
        <f aca="false">IF(C214="","",N(H214)+N(I214))</f>
        <v/>
      </c>
      <c r="K214" s="10" t="str">
        <f aca="false">IF(C214="","",MIN(J214,پارامترها!$B$3))</f>
        <v/>
      </c>
      <c r="L214" s="10" t="str">
        <f aca="false">IF(C214="","",MAX(0,J214-پارامترها!$B$3))</f>
        <v/>
      </c>
      <c r="M214" s="11"/>
      <c r="N214" s="11"/>
      <c r="O214" s="11"/>
      <c r="P214" s="11"/>
      <c r="Q214" s="11"/>
      <c r="R214" s="12" t="str">
        <f aca="false">IF(OR(C214="",N(J214)=0),"",K214*2*(N(H214)*پارامترها!$B$4+N(I214)*پارامترها!$B$5)/J214)</f>
        <v/>
      </c>
      <c r="S214" s="12" t="str">
        <f aca="false">IF(C214="","",N(M214)*پارامترها!$B$6+N(N214)*پارامترها!$B$7+N(O214)*پارامترها!$B$8)</f>
        <v/>
      </c>
      <c r="T214" s="12" t="str">
        <f aca="false">IF(C214="","",N(R214)+N(S214))</f>
        <v/>
      </c>
      <c r="U214" s="10" t="str">
        <f aca="false">IF(C214="","",IF(P214&lt;&gt;"بله","ثبت نشده در HIS",IF(N(L214)&gt;0,"ثبت‌شده؛ مازاد بر سقف","ثبت‌شده")))</f>
        <v/>
      </c>
      <c r="V214" s="11"/>
    </row>
    <row r="215" customFormat="false" ht="15" hidden="false" customHeight="false" outlineLevel="0" collapsed="false">
      <c r="A215" s="10" t="str">
        <f aca="false">IF(C215="","",ROW()-3)</f>
        <v/>
      </c>
      <c r="B215" s="11"/>
      <c r="C215" s="11"/>
      <c r="D215" s="11"/>
      <c r="E215" s="11"/>
      <c r="F215" s="11"/>
      <c r="G215" s="11"/>
      <c r="H215" s="11"/>
      <c r="I215" s="11"/>
      <c r="J215" s="10" t="str">
        <f aca="false">IF(C215="","",N(H215)+N(I215))</f>
        <v/>
      </c>
      <c r="K215" s="10" t="str">
        <f aca="false">IF(C215="","",MIN(J215,پارامترها!$B$3))</f>
        <v/>
      </c>
      <c r="L215" s="10" t="str">
        <f aca="false">IF(C215="","",MAX(0,J215-پارامترها!$B$3))</f>
        <v/>
      </c>
      <c r="M215" s="11"/>
      <c r="N215" s="11"/>
      <c r="O215" s="11"/>
      <c r="P215" s="11"/>
      <c r="Q215" s="11"/>
      <c r="R215" s="12" t="str">
        <f aca="false">IF(OR(C215="",N(J215)=0),"",K215*2*(N(H215)*پارامترها!$B$4+N(I215)*پارامترها!$B$5)/J215)</f>
        <v/>
      </c>
      <c r="S215" s="12" t="str">
        <f aca="false">IF(C215="","",N(M215)*پارامترها!$B$6+N(N215)*پارامترها!$B$7+N(O215)*پارامترها!$B$8)</f>
        <v/>
      </c>
      <c r="T215" s="12" t="str">
        <f aca="false">IF(C215="","",N(R215)+N(S215))</f>
        <v/>
      </c>
      <c r="U215" s="10" t="str">
        <f aca="false">IF(C215="","",IF(P215&lt;&gt;"بله","ثبت نشده در HIS",IF(N(L215)&gt;0,"ثبت‌شده؛ مازاد بر سقف","ثبت‌شده")))</f>
        <v/>
      </c>
      <c r="V215" s="11"/>
    </row>
    <row r="216" customFormat="false" ht="15" hidden="false" customHeight="false" outlineLevel="0" collapsed="false">
      <c r="A216" s="10" t="str">
        <f aca="false">IF(C216="","",ROW()-3)</f>
        <v/>
      </c>
      <c r="B216" s="11"/>
      <c r="C216" s="11"/>
      <c r="D216" s="11"/>
      <c r="E216" s="11"/>
      <c r="F216" s="11"/>
      <c r="G216" s="11"/>
      <c r="H216" s="11"/>
      <c r="I216" s="11"/>
      <c r="J216" s="10" t="str">
        <f aca="false">IF(C216="","",N(H216)+N(I216))</f>
        <v/>
      </c>
      <c r="K216" s="10" t="str">
        <f aca="false">IF(C216="","",MIN(J216,پارامترها!$B$3))</f>
        <v/>
      </c>
      <c r="L216" s="10" t="str">
        <f aca="false">IF(C216="","",MAX(0,J216-پارامترها!$B$3))</f>
        <v/>
      </c>
      <c r="M216" s="11"/>
      <c r="N216" s="11"/>
      <c r="O216" s="11"/>
      <c r="P216" s="11"/>
      <c r="Q216" s="11"/>
      <c r="R216" s="12" t="str">
        <f aca="false">IF(OR(C216="",N(J216)=0),"",K216*2*(N(H216)*پارامترها!$B$4+N(I216)*پارامترها!$B$5)/J216)</f>
        <v/>
      </c>
      <c r="S216" s="12" t="str">
        <f aca="false">IF(C216="","",N(M216)*پارامترها!$B$6+N(N216)*پارامترها!$B$7+N(O216)*پارامترها!$B$8)</f>
        <v/>
      </c>
      <c r="T216" s="12" t="str">
        <f aca="false">IF(C216="","",N(R216)+N(S216))</f>
        <v/>
      </c>
      <c r="U216" s="10" t="str">
        <f aca="false">IF(C216="","",IF(P216&lt;&gt;"بله","ثبت نشده در HIS",IF(N(L216)&gt;0,"ثبت‌شده؛ مازاد بر سقف","ثبت‌شده")))</f>
        <v/>
      </c>
      <c r="V216" s="11"/>
    </row>
    <row r="217" customFormat="false" ht="15" hidden="false" customHeight="false" outlineLevel="0" collapsed="false">
      <c r="A217" s="10" t="str">
        <f aca="false">IF(C217="","",ROW()-3)</f>
        <v/>
      </c>
      <c r="B217" s="11"/>
      <c r="C217" s="11"/>
      <c r="D217" s="11"/>
      <c r="E217" s="11"/>
      <c r="F217" s="11"/>
      <c r="G217" s="11"/>
      <c r="H217" s="11"/>
      <c r="I217" s="11"/>
      <c r="J217" s="10" t="str">
        <f aca="false">IF(C217="","",N(H217)+N(I217))</f>
        <v/>
      </c>
      <c r="K217" s="10" t="str">
        <f aca="false">IF(C217="","",MIN(J217,پارامترها!$B$3))</f>
        <v/>
      </c>
      <c r="L217" s="10" t="str">
        <f aca="false">IF(C217="","",MAX(0,J217-پارامترها!$B$3))</f>
        <v/>
      </c>
      <c r="M217" s="11"/>
      <c r="N217" s="11"/>
      <c r="O217" s="11"/>
      <c r="P217" s="11"/>
      <c r="Q217" s="11"/>
      <c r="R217" s="12" t="str">
        <f aca="false">IF(OR(C217="",N(J217)=0),"",K217*2*(N(H217)*پارامترها!$B$4+N(I217)*پارامترها!$B$5)/J217)</f>
        <v/>
      </c>
      <c r="S217" s="12" t="str">
        <f aca="false">IF(C217="","",N(M217)*پارامترها!$B$6+N(N217)*پارامترها!$B$7+N(O217)*پارامترها!$B$8)</f>
        <v/>
      </c>
      <c r="T217" s="12" t="str">
        <f aca="false">IF(C217="","",N(R217)+N(S217))</f>
        <v/>
      </c>
      <c r="U217" s="10" t="str">
        <f aca="false">IF(C217="","",IF(P217&lt;&gt;"بله","ثبت نشده در HIS",IF(N(L217)&gt;0,"ثبت‌شده؛ مازاد بر سقف","ثبت‌شده")))</f>
        <v/>
      </c>
      <c r="V217" s="11"/>
    </row>
    <row r="218" customFormat="false" ht="15" hidden="false" customHeight="false" outlineLevel="0" collapsed="false">
      <c r="A218" s="10" t="str">
        <f aca="false">IF(C218="","",ROW()-3)</f>
        <v/>
      </c>
      <c r="B218" s="11"/>
      <c r="C218" s="11"/>
      <c r="D218" s="11"/>
      <c r="E218" s="11"/>
      <c r="F218" s="11"/>
      <c r="G218" s="11"/>
      <c r="H218" s="11"/>
      <c r="I218" s="11"/>
      <c r="J218" s="10" t="str">
        <f aca="false">IF(C218="","",N(H218)+N(I218))</f>
        <v/>
      </c>
      <c r="K218" s="10" t="str">
        <f aca="false">IF(C218="","",MIN(J218,پارامترها!$B$3))</f>
        <v/>
      </c>
      <c r="L218" s="10" t="str">
        <f aca="false">IF(C218="","",MAX(0,J218-پارامترها!$B$3))</f>
        <v/>
      </c>
      <c r="M218" s="11"/>
      <c r="N218" s="11"/>
      <c r="O218" s="11"/>
      <c r="P218" s="11"/>
      <c r="Q218" s="11"/>
      <c r="R218" s="12" t="str">
        <f aca="false">IF(OR(C218="",N(J218)=0),"",K218*2*(N(H218)*پارامترها!$B$4+N(I218)*پارامترها!$B$5)/J218)</f>
        <v/>
      </c>
      <c r="S218" s="12" t="str">
        <f aca="false">IF(C218="","",N(M218)*پارامترها!$B$6+N(N218)*پارامترها!$B$7+N(O218)*پارامترها!$B$8)</f>
        <v/>
      </c>
      <c r="T218" s="12" t="str">
        <f aca="false">IF(C218="","",N(R218)+N(S218))</f>
        <v/>
      </c>
      <c r="U218" s="10" t="str">
        <f aca="false">IF(C218="","",IF(P218&lt;&gt;"بله","ثبت نشده در HIS",IF(N(L218)&gt;0,"ثبت‌شده؛ مازاد بر سقف","ثبت‌شده")))</f>
        <v/>
      </c>
      <c r="V218" s="11"/>
    </row>
    <row r="219" customFormat="false" ht="15" hidden="false" customHeight="false" outlineLevel="0" collapsed="false">
      <c r="A219" s="10" t="str">
        <f aca="false">IF(C219="","",ROW()-3)</f>
        <v/>
      </c>
      <c r="B219" s="11"/>
      <c r="C219" s="11"/>
      <c r="D219" s="11"/>
      <c r="E219" s="11"/>
      <c r="F219" s="11"/>
      <c r="G219" s="11"/>
      <c r="H219" s="11"/>
      <c r="I219" s="11"/>
      <c r="J219" s="10" t="str">
        <f aca="false">IF(C219="","",N(H219)+N(I219))</f>
        <v/>
      </c>
      <c r="K219" s="10" t="str">
        <f aca="false">IF(C219="","",MIN(J219,پارامترها!$B$3))</f>
        <v/>
      </c>
      <c r="L219" s="10" t="str">
        <f aca="false">IF(C219="","",MAX(0,J219-پارامترها!$B$3))</f>
        <v/>
      </c>
      <c r="M219" s="11"/>
      <c r="N219" s="11"/>
      <c r="O219" s="11"/>
      <c r="P219" s="11"/>
      <c r="Q219" s="11"/>
      <c r="R219" s="12" t="str">
        <f aca="false">IF(OR(C219="",N(J219)=0),"",K219*2*(N(H219)*پارامترها!$B$4+N(I219)*پارامترها!$B$5)/J219)</f>
        <v/>
      </c>
      <c r="S219" s="12" t="str">
        <f aca="false">IF(C219="","",N(M219)*پارامترها!$B$6+N(N219)*پارامترها!$B$7+N(O219)*پارامترها!$B$8)</f>
        <v/>
      </c>
      <c r="T219" s="12" t="str">
        <f aca="false">IF(C219="","",N(R219)+N(S219))</f>
        <v/>
      </c>
      <c r="U219" s="10" t="str">
        <f aca="false">IF(C219="","",IF(P219&lt;&gt;"بله","ثبت نشده در HIS",IF(N(L219)&gt;0,"ثبت‌شده؛ مازاد بر سقف","ثبت‌شده")))</f>
        <v/>
      </c>
      <c r="V219" s="11"/>
    </row>
    <row r="220" customFormat="false" ht="15" hidden="false" customHeight="false" outlineLevel="0" collapsed="false">
      <c r="A220" s="10" t="str">
        <f aca="false">IF(C220="","",ROW()-3)</f>
        <v/>
      </c>
      <c r="B220" s="11"/>
      <c r="C220" s="11"/>
      <c r="D220" s="11"/>
      <c r="E220" s="11"/>
      <c r="F220" s="11"/>
      <c r="G220" s="11"/>
      <c r="H220" s="11"/>
      <c r="I220" s="11"/>
      <c r="J220" s="10" t="str">
        <f aca="false">IF(C220="","",N(H220)+N(I220))</f>
        <v/>
      </c>
      <c r="K220" s="10" t="str">
        <f aca="false">IF(C220="","",MIN(J220,پارامترها!$B$3))</f>
        <v/>
      </c>
      <c r="L220" s="10" t="str">
        <f aca="false">IF(C220="","",MAX(0,J220-پارامترها!$B$3))</f>
        <v/>
      </c>
      <c r="M220" s="11"/>
      <c r="N220" s="11"/>
      <c r="O220" s="11"/>
      <c r="P220" s="11"/>
      <c r="Q220" s="11"/>
      <c r="R220" s="12" t="str">
        <f aca="false">IF(OR(C220="",N(J220)=0),"",K220*2*(N(H220)*پارامترها!$B$4+N(I220)*پارامترها!$B$5)/J220)</f>
        <v/>
      </c>
      <c r="S220" s="12" t="str">
        <f aca="false">IF(C220="","",N(M220)*پارامترها!$B$6+N(N220)*پارامترها!$B$7+N(O220)*پارامترها!$B$8)</f>
        <v/>
      </c>
      <c r="T220" s="12" t="str">
        <f aca="false">IF(C220="","",N(R220)+N(S220))</f>
        <v/>
      </c>
      <c r="U220" s="10" t="str">
        <f aca="false">IF(C220="","",IF(P220&lt;&gt;"بله","ثبت نشده در HIS",IF(N(L220)&gt;0,"ثبت‌شده؛ مازاد بر سقف","ثبت‌شده")))</f>
        <v/>
      </c>
      <c r="V220" s="11"/>
    </row>
    <row r="221" customFormat="false" ht="15" hidden="false" customHeight="false" outlineLevel="0" collapsed="false">
      <c r="A221" s="10" t="str">
        <f aca="false">IF(C221="","",ROW()-3)</f>
        <v/>
      </c>
      <c r="B221" s="11"/>
      <c r="C221" s="11"/>
      <c r="D221" s="11"/>
      <c r="E221" s="11"/>
      <c r="F221" s="11"/>
      <c r="G221" s="11"/>
      <c r="H221" s="11"/>
      <c r="I221" s="11"/>
      <c r="J221" s="10" t="str">
        <f aca="false">IF(C221="","",N(H221)+N(I221))</f>
        <v/>
      </c>
      <c r="K221" s="10" t="str">
        <f aca="false">IF(C221="","",MIN(J221,پارامترها!$B$3))</f>
        <v/>
      </c>
      <c r="L221" s="10" t="str">
        <f aca="false">IF(C221="","",MAX(0,J221-پارامترها!$B$3))</f>
        <v/>
      </c>
      <c r="M221" s="11"/>
      <c r="N221" s="11"/>
      <c r="O221" s="11"/>
      <c r="P221" s="11"/>
      <c r="Q221" s="11"/>
      <c r="R221" s="12" t="str">
        <f aca="false">IF(OR(C221="",N(J221)=0),"",K221*2*(N(H221)*پارامترها!$B$4+N(I221)*پارامترها!$B$5)/J221)</f>
        <v/>
      </c>
      <c r="S221" s="12" t="str">
        <f aca="false">IF(C221="","",N(M221)*پارامترها!$B$6+N(N221)*پارامترها!$B$7+N(O221)*پارامترها!$B$8)</f>
        <v/>
      </c>
      <c r="T221" s="12" t="str">
        <f aca="false">IF(C221="","",N(R221)+N(S221))</f>
        <v/>
      </c>
      <c r="U221" s="10" t="str">
        <f aca="false">IF(C221="","",IF(P221&lt;&gt;"بله","ثبت نشده در HIS",IF(N(L221)&gt;0,"ثبت‌شده؛ مازاد بر سقف","ثبت‌شده")))</f>
        <v/>
      </c>
      <c r="V221" s="11"/>
    </row>
    <row r="222" customFormat="false" ht="15" hidden="false" customHeight="false" outlineLevel="0" collapsed="false">
      <c r="A222" s="10" t="str">
        <f aca="false">IF(C222="","",ROW()-3)</f>
        <v/>
      </c>
      <c r="B222" s="11"/>
      <c r="C222" s="11"/>
      <c r="D222" s="11"/>
      <c r="E222" s="11"/>
      <c r="F222" s="11"/>
      <c r="G222" s="11"/>
      <c r="H222" s="11"/>
      <c r="I222" s="11"/>
      <c r="J222" s="10" t="str">
        <f aca="false">IF(C222="","",N(H222)+N(I222))</f>
        <v/>
      </c>
      <c r="K222" s="10" t="str">
        <f aca="false">IF(C222="","",MIN(J222,پارامترها!$B$3))</f>
        <v/>
      </c>
      <c r="L222" s="10" t="str">
        <f aca="false">IF(C222="","",MAX(0,J222-پارامترها!$B$3))</f>
        <v/>
      </c>
      <c r="M222" s="11"/>
      <c r="N222" s="11"/>
      <c r="O222" s="11"/>
      <c r="P222" s="11"/>
      <c r="Q222" s="11"/>
      <c r="R222" s="12" t="str">
        <f aca="false">IF(OR(C222="",N(J222)=0),"",K222*2*(N(H222)*پارامترها!$B$4+N(I222)*پارامترها!$B$5)/J222)</f>
        <v/>
      </c>
      <c r="S222" s="12" t="str">
        <f aca="false">IF(C222="","",N(M222)*پارامترها!$B$6+N(N222)*پارامترها!$B$7+N(O222)*پارامترها!$B$8)</f>
        <v/>
      </c>
      <c r="T222" s="12" t="str">
        <f aca="false">IF(C222="","",N(R222)+N(S222))</f>
        <v/>
      </c>
      <c r="U222" s="10" t="str">
        <f aca="false">IF(C222="","",IF(P222&lt;&gt;"بله","ثبت نشده در HIS",IF(N(L222)&gt;0,"ثبت‌شده؛ مازاد بر سقف","ثبت‌شده")))</f>
        <v/>
      </c>
      <c r="V222" s="11"/>
    </row>
    <row r="223" customFormat="false" ht="15" hidden="false" customHeight="false" outlineLevel="0" collapsed="false">
      <c r="A223" s="10" t="str">
        <f aca="false">IF(C223="","",ROW()-3)</f>
        <v/>
      </c>
      <c r="B223" s="11"/>
      <c r="C223" s="11"/>
      <c r="D223" s="11"/>
      <c r="E223" s="11"/>
      <c r="F223" s="11"/>
      <c r="G223" s="11"/>
      <c r="H223" s="11"/>
      <c r="I223" s="11"/>
      <c r="J223" s="10" t="str">
        <f aca="false">IF(C223="","",N(H223)+N(I223))</f>
        <v/>
      </c>
      <c r="K223" s="10" t="str">
        <f aca="false">IF(C223="","",MIN(J223,پارامترها!$B$3))</f>
        <v/>
      </c>
      <c r="L223" s="10" t="str">
        <f aca="false">IF(C223="","",MAX(0,J223-پارامترها!$B$3))</f>
        <v/>
      </c>
      <c r="M223" s="11"/>
      <c r="N223" s="11"/>
      <c r="O223" s="11"/>
      <c r="P223" s="11"/>
      <c r="Q223" s="11"/>
      <c r="R223" s="12" t="str">
        <f aca="false">IF(OR(C223="",N(J223)=0),"",K223*2*(N(H223)*پارامترها!$B$4+N(I223)*پارامترها!$B$5)/J223)</f>
        <v/>
      </c>
      <c r="S223" s="12" t="str">
        <f aca="false">IF(C223="","",N(M223)*پارامترها!$B$6+N(N223)*پارامترها!$B$7+N(O223)*پارامترها!$B$8)</f>
        <v/>
      </c>
      <c r="T223" s="12" t="str">
        <f aca="false">IF(C223="","",N(R223)+N(S223))</f>
        <v/>
      </c>
      <c r="U223" s="10" t="str">
        <f aca="false">IF(C223="","",IF(P223&lt;&gt;"بله","ثبت نشده در HIS",IF(N(L223)&gt;0,"ثبت‌شده؛ مازاد بر سقف","ثبت‌شده")))</f>
        <v/>
      </c>
      <c r="V223" s="11"/>
    </row>
    <row r="224" customFormat="false" ht="15" hidden="false" customHeight="false" outlineLevel="0" collapsed="false">
      <c r="A224" s="10" t="str">
        <f aca="false">IF(C224="","",ROW()-3)</f>
        <v/>
      </c>
      <c r="B224" s="11"/>
      <c r="C224" s="11"/>
      <c r="D224" s="11"/>
      <c r="E224" s="11"/>
      <c r="F224" s="11"/>
      <c r="G224" s="11"/>
      <c r="H224" s="11"/>
      <c r="I224" s="11"/>
      <c r="J224" s="10" t="str">
        <f aca="false">IF(C224="","",N(H224)+N(I224))</f>
        <v/>
      </c>
      <c r="K224" s="10" t="str">
        <f aca="false">IF(C224="","",MIN(J224,پارامترها!$B$3))</f>
        <v/>
      </c>
      <c r="L224" s="10" t="str">
        <f aca="false">IF(C224="","",MAX(0,J224-پارامترها!$B$3))</f>
        <v/>
      </c>
      <c r="M224" s="11"/>
      <c r="N224" s="11"/>
      <c r="O224" s="11"/>
      <c r="P224" s="11"/>
      <c r="Q224" s="11"/>
      <c r="R224" s="12" t="str">
        <f aca="false">IF(OR(C224="",N(J224)=0),"",K224*2*(N(H224)*پارامترها!$B$4+N(I224)*پارامترها!$B$5)/J224)</f>
        <v/>
      </c>
      <c r="S224" s="12" t="str">
        <f aca="false">IF(C224="","",N(M224)*پارامترها!$B$6+N(N224)*پارامترها!$B$7+N(O224)*پارامترها!$B$8)</f>
        <v/>
      </c>
      <c r="T224" s="12" t="str">
        <f aca="false">IF(C224="","",N(R224)+N(S224))</f>
        <v/>
      </c>
      <c r="U224" s="10" t="str">
        <f aca="false">IF(C224="","",IF(P224&lt;&gt;"بله","ثبت نشده در HIS",IF(N(L224)&gt;0,"ثبت‌شده؛ مازاد بر سقف","ثبت‌شده")))</f>
        <v/>
      </c>
      <c r="V224" s="11"/>
    </row>
    <row r="225" customFormat="false" ht="15" hidden="false" customHeight="false" outlineLevel="0" collapsed="false">
      <c r="A225" s="10" t="str">
        <f aca="false">IF(C225="","",ROW()-3)</f>
        <v/>
      </c>
      <c r="B225" s="11"/>
      <c r="C225" s="11"/>
      <c r="D225" s="11"/>
      <c r="E225" s="11"/>
      <c r="F225" s="11"/>
      <c r="G225" s="11"/>
      <c r="H225" s="11"/>
      <c r="I225" s="11"/>
      <c r="J225" s="10" t="str">
        <f aca="false">IF(C225="","",N(H225)+N(I225))</f>
        <v/>
      </c>
      <c r="K225" s="10" t="str">
        <f aca="false">IF(C225="","",MIN(J225,پارامترها!$B$3))</f>
        <v/>
      </c>
      <c r="L225" s="10" t="str">
        <f aca="false">IF(C225="","",MAX(0,J225-پارامترها!$B$3))</f>
        <v/>
      </c>
      <c r="M225" s="11"/>
      <c r="N225" s="11"/>
      <c r="O225" s="11"/>
      <c r="P225" s="11"/>
      <c r="Q225" s="11"/>
      <c r="R225" s="12" t="str">
        <f aca="false">IF(OR(C225="",N(J225)=0),"",K225*2*(N(H225)*پارامترها!$B$4+N(I225)*پارامترها!$B$5)/J225)</f>
        <v/>
      </c>
      <c r="S225" s="12" t="str">
        <f aca="false">IF(C225="","",N(M225)*پارامترها!$B$6+N(N225)*پارامترها!$B$7+N(O225)*پارامترها!$B$8)</f>
        <v/>
      </c>
      <c r="T225" s="12" t="str">
        <f aca="false">IF(C225="","",N(R225)+N(S225))</f>
        <v/>
      </c>
      <c r="U225" s="10" t="str">
        <f aca="false">IF(C225="","",IF(P225&lt;&gt;"بله","ثبت نشده در HIS",IF(N(L225)&gt;0,"ثبت‌شده؛ مازاد بر سقف","ثبت‌شده")))</f>
        <v/>
      </c>
      <c r="V225" s="11"/>
    </row>
    <row r="226" customFormat="false" ht="15" hidden="false" customHeight="false" outlineLevel="0" collapsed="false">
      <c r="A226" s="10" t="str">
        <f aca="false">IF(C226="","",ROW()-3)</f>
        <v/>
      </c>
      <c r="B226" s="11"/>
      <c r="C226" s="11"/>
      <c r="D226" s="11"/>
      <c r="E226" s="11"/>
      <c r="F226" s="11"/>
      <c r="G226" s="11"/>
      <c r="H226" s="11"/>
      <c r="I226" s="11"/>
      <c r="J226" s="10" t="str">
        <f aca="false">IF(C226="","",N(H226)+N(I226))</f>
        <v/>
      </c>
      <c r="K226" s="10" t="str">
        <f aca="false">IF(C226="","",MIN(J226,پارامترها!$B$3))</f>
        <v/>
      </c>
      <c r="L226" s="10" t="str">
        <f aca="false">IF(C226="","",MAX(0,J226-پارامترها!$B$3))</f>
        <v/>
      </c>
      <c r="M226" s="11"/>
      <c r="N226" s="11"/>
      <c r="O226" s="11"/>
      <c r="P226" s="11"/>
      <c r="Q226" s="11"/>
      <c r="R226" s="12" t="str">
        <f aca="false">IF(OR(C226="",N(J226)=0),"",K226*2*(N(H226)*پارامترها!$B$4+N(I226)*پارامترها!$B$5)/J226)</f>
        <v/>
      </c>
      <c r="S226" s="12" t="str">
        <f aca="false">IF(C226="","",N(M226)*پارامترها!$B$6+N(N226)*پارامترها!$B$7+N(O226)*پارامترها!$B$8)</f>
        <v/>
      </c>
      <c r="T226" s="12" t="str">
        <f aca="false">IF(C226="","",N(R226)+N(S226))</f>
        <v/>
      </c>
      <c r="U226" s="10" t="str">
        <f aca="false">IF(C226="","",IF(P226&lt;&gt;"بله","ثبت نشده در HIS",IF(N(L226)&gt;0,"ثبت‌شده؛ مازاد بر سقف","ثبت‌شده")))</f>
        <v/>
      </c>
      <c r="V226" s="11"/>
    </row>
    <row r="227" customFormat="false" ht="15" hidden="false" customHeight="false" outlineLevel="0" collapsed="false">
      <c r="A227" s="10" t="str">
        <f aca="false">IF(C227="","",ROW()-3)</f>
        <v/>
      </c>
      <c r="B227" s="11"/>
      <c r="C227" s="11"/>
      <c r="D227" s="11"/>
      <c r="E227" s="11"/>
      <c r="F227" s="11"/>
      <c r="G227" s="11"/>
      <c r="H227" s="11"/>
      <c r="I227" s="11"/>
      <c r="J227" s="10" t="str">
        <f aca="false">IF(C227="","",N(H227)+N(I227))</f>
        <v/>
      </c>
      <c r="K227" s="10" t="str">
        <f aca="false">IF(C227="","",MIN(J227,پارامترها!$B$3))</f>
        <v/>
      </c>
      <c r="L227" s="10" t="str">
        <f aca="false">IF(C227="","",MAX(0,J227-پارامترها!$B$3))</f>
        <v/>
      </c>
      <c r="M227" s="11"/>
      <c r="N227" s="11"/>
      <c r="O227" s="11"/>
      <c r="P227" s="11"/>
      <c r="Q227" s="11"/>
      <c r="R227" s="12" t="str">
        <f aca="false">IF(OR(C227="",N(J227)=0),"",K227*2*(N(H227)*پارامترها!$B$4+N(I227)*پارامترها!$B$5)/J227)</f>
        <v/>
      </c>
      <c r="S227" s="12" t="str">
        <f aca="false">IF(C227="","",N(M227)*پارامترها!$B$6+N(N227)*پارامترها!$B$7+N(O227)*پارامترها!$B$8)</f>
        <v/>
      </c>
      <c r="T227" s="12" t="str">
        <f aca="false">IF(C227="","",N(R227)+N(S227))</f>
        <v/>
      </c>
      <c r="U227" s="10" t="str">
        <f aca="false">IF(C227="","",IF(P227&lt;&gt;"بله","ثبت نشده در HIS",IF(N(L227)&gt;0,"ثبت‌شده؛ مازاد بر سقف","ثبت‌شده")))</f>
        <v/>
      </c>
      <c r="V227" s="11"/>
    </row>
    <row r="228" customFormat="false" ht="15" hidden="false" customHeight="false" outlineLevel="0" collapsed="false">
      <c r="A228" s="10" t="str">
        <f aca="false">IF(C228="","",ROW()-3)</f>
        <v/>
      </c>
      <c r="B228" s="11"/>
      <c r="C228" s="11"/>
      <c r="D228" s="11"/>
      <c r="E228" s="11"/>
      <c r="F228" s="11"/>
      <c r="G228" s="11"/>
      <c r="H228" s="11"/>
      <c r="I228" s="11"/>
      <c r="J228" s="10" t="str">
        <f aca="false">IF(C228="","",N(H228)+N(I228))</f>
        <v/>
      </c>
      <c r="K228" s="10" t="str">
        <f aca="false">IF(C228="","",MIN(J228,پارامترها!$B$3))</f>
        <v/>
      </c>
      <c r="L228" s="10" t="str">
        <f aca="false">IF(C228="","",MAX(0,J228-پارامترها!$B$3))</f>
        <v/>
      </c>
      <c r="M228" s="11"/>
      <c r="N228" s="11"/>
      <c r="O228" s="11"/>
      <c r="P228" s="11"/>
      <c r="Q228" s="11"/>
      <c r="R228" s="12" t="str">
        <f aca="false">IF(OR(C228="",N(J228)=0),"",K228*2*(N(H228)*پارامترها!$B$4+N(I228)*پارامترها!$B$5)/J228)</f>
        <v/>
      </c>
      <c r="S228" s="12" t="str">
        <f aca="false">IF(C228="","",N(M228)*پارامترها!$B$6+N(N228)*پارامترها!$B$7+N(O228)*پارامترها!$B$8)</f>
        <v/>
      </c>
      <c r="T228" s="12" t="str">
        <f aca="false">IF(C228="","",N(R228)+N(S228))</f>
        <v/>
      </c>
      <c r="U228" s="10" t="str">
        <f aca="false">IF(C228="","",IF(P228&lt;&gt;"بله","ثبت نشده در HIS",IF(N(L228)&gt;0,"ثبت‌شده؛ مازاد بر سقف","ثبت‌شده")))</f>
        <v/>
      </c>
      <c r="V228" s="11"/>
    </row>
    <row r="229" customFormat="false" ht="15" hidden="false" customHeight="false" outlineLevel="0" collapsed="false">
      <c r="A229" s="10" t="str">
        <f aca="false">IF(C229="","",ROW()-3)</f>
        <v/>
      </c>
      <c r="B229" s="11"/>
      <c r="C229" s="11"/>
      <c r="D229" s="11"/>
      <c r="E229" s="11"/>
      <c r="F229" s="11"/>
      <c r="G229" s="11"/>
      <c r="H229" s="11"/>
      <c r="I229" s="11"/>
      <c r="J229" s="10" t="str">
        <f aca="false">IF(C229="","",N(H229)+N(I229))</f>
        <v/>
      </c>
      <c r="K229" s="10" t="str">
        <f aca="false">IF(C229="","",MIN(J229,پارامترها!$B$3))</f>
        <v/>
      </c>
      <c r="L229" s="10" t="str">
        <f aca="false">IF(C229="","",MAX(0,J229-پارامترها!$B$3))</f>
        <v/>
      </c>
      <c r="M229" s="11"/>
      <c r="N229" s="11"/>
      <c r="O229" s="11"/>
      <c r="P229" s="11"/>
      <c r="Q229" s="11"/>
      <c r="R229" s="12" t="str">
        <f aca="false">IF(OR(C229="",N(J229)=0),"",K229*2*(N(H229)*پارامترها!$B$4+N(I229)*پارامترها!$B$5)/J229)</f>
        <v/>
      </c>
      <c r="S229" s="12" t="str">
        <f aca="false">IF(C229="","",N(M229)*پارامترها!$B$6+N(N229)*پارامترها!$B$7+N(O229)*پارامترها!$B$8)</f>
        <v/>
      </c>
      <c r="T229" s="12" t="str">
        <f aca="false">IF(C229="","",N(R229)+N(S229))</f>
        <v/>
      </c>
      <c r="U229" s="10" t="str">
        <f aca="false">IF(C229="","",IF(P229&lt;&gt;"بله","ثبت نشده در HIS",IF(N(L229)&gt;0,"ثبت‌شده؛ مازاد بر سقف","ثبت‌شده")))</f>
        <v/>
      </c>
      <c r="V229" s="11"/>
    </row>
    <row r="230" customFormat="false" ht="15" hidden="false" customHeight="false" outlineLevel="0" collapsed="false">
      <c r="A230" s="10" t="str">
        <f aca="false">IF(C230="","",ROW()-3)</f>
        <v/>
      </c>
      <c r="B230" s="11"/>
      <c r="C230" s="11"/>
      <c r="D230" s="11"/>
      <c r="E230" s="11"/>
      <c r="F230" s="11"/>
      <c r="G230" s="11"/>
      <c r="H230" s="11"/>
      <c r="I230" s="11"/>
      <c r="J230" s="10" t="str">
        <f aca="false">IF(C230="","",N(H230)+N(I230))</f>
        <v/>
      </c>
      <c r="K230" s="10" t="str">
        <f aca="false">IF(C230="","",MIN(J230,پارامترها!$B$3))</f>
        <v/>
      </c>
      <c r="L230" s="10" t="str">
        <f aca="false">IF(C230="","",MAX(0,J230-پارامترها!$B$3))</f>
        <v/>
      </c>
      <c r="M230" s="11"/>
      <c r="N230" s="11"/>
      <c r="O230" s="11"/>
      <c r="P230" s="11"/>
      <c r="Q230" s="11"/>
      <c r="R230" s="12" t="str">
        <f aca="false">IF(OR(C230="",N(J230)=0),"",K230*2*(N(H230)*پارامترها!$B$4+N(I230)*پارامترها!$B$5)/J230)</f>
        <v/>
      </c>
      <c r="S230" s="12" t="str">
        <f aca="false">IF(C230="","",N(M230)*پارامترها!$B$6+N(N230)*پارامترها!$B$7+N(O230)*پارامترها!$B$8)</f>
        <v/>
      </c>
      <c r="T230" s="12" t="str">
        <f aca="false">IF(C230="","",N(R230)+N(S230))</f>
        <v/>
      </c>
      <c r="U230" s="10" t="str">
        <f aca="false">IF(C230="","",IF(P230&lt;&gt;"بله","ثبت نشده در HIS",IF(N(L230)&gt;0,"ثبت‌شده؛ مازاد بر سقف","ثبت‌شده")))</f>
        <v/>
      </c>
      <c r="V230" s="11"/>
    </row>
    <row r="231" customFormat="false" ht="15" hidden="false" customHeight="false" outlineLevel="0" collapsed="false">
      <c r="A231" s="10" t="str">
        <f aca="false">IF(C231="","",ROW()-3)</f>
        <v/>
      </c>
      <c r="B231" s="11"/>
      <c r="C231" s="11"/>
      <c r="D231" s="11"/>
      <c r="E231" s="11"/>
      <c r="F231" s="11"/>
      <c r="G231" s="11"/>
      <c r="H231" s="11"/>
      <c r="I231" s="11"/>
      <c r="J231" s="10" t="str">
        <f aca="false">IF(C231="","",N(H231)+N(I231))</f>
        <v/>
      </c>
      <c r="K231" s="10" t="str">
        <f aca="false">IF(C231="","",MIN(J231,پارامترها!$B$3))</f>
        <v/>
      </c>
      <c r="L231" s="10" t="str">
        <f aca="false">IF(C231="","",MAX(0,J231-پارامترها!$B$3))</f>
        <v/>
      </c>
      <c r="M231" s="11"/>
      <c r="N231" s="11"/>
      <c r="O231" s="11"/>
      <c r="P231" s="11"/>
      <c r="Q231" s="11"/>
      <c r="R231" s="12" t="str">
        <f aca="false">IF(OR(C231="",N(J231)=0),"",K231*2*(N(H231)*پارامترها!$B$4+N(I231)*پارامترها!$B$5)/J231)</f>
        <v/>
      </c>
      <c r="S231" s="12" t="str">
        <f aca="false">IF(C231="","",N(M231)*پارامترها!$B$6+N(N231)*پارامترها!$B$7+N(O231)*پارامترها!$B$8)</f>
        <v/>
      </c>
      <c r="T231" s="12" t="str">
        <f aca="false">IF(C231="","",N(R231)+N(S231))</f>
        <v/>
      </c>
      <c r="U231" s="10" t="str">
        <f aca="false">IF(C231="","",IF(P231&lt;&gt;"بله","ثبت نشده در HIS",IF(N(L231)&gt;0,"ثبت‌شده؛ مازاد بر سقف","ثبت‌شده")))</f>
        <v/>
      </c>
      <c r="V231" s="11"/>
    </row>
    <row r="232" customFormat="false" ht="15" hidden="false" customHeight="false" outlineLevel="0" collapsed="false">
      <c r="A232" s="10" t="str">
        <f aca="false">IF(C232="","",ROW()-3)</f>
        <v/>
      </c>
      <c r="B232" s="11"/>
      <c r="C232" s="11"/>
      <c r="D232" s="11"/>
      <c r="E232" s="11"/>
      <c r="F232" s="11"/>
      <c r="G232" s="11"/>
      <c r="H232" s="11"/>
      <c r="I232" s="11"/>
      <c r="J232" s="10" t="str">
        <f aca="false">IF(C232="","",N(H232)+N(I232))</f>
        <v/>
      </c>
      <c r="K232" s="10" t="str">
        <f aca="false">IF(C232="","",MIN(J232,پارامترها!$B$3))</f>
        <v/>
      </c>
      <c r="L232" s="10" t="str">
        <f aca="false">IF(C232="","",MAX(0,J232-پارامترها!$B$3))</f>
        <v/>
      </c>
      <c r="M232" s="11"/>
      <c r="N232" s="11"/>
      <c r="O232" s="11"/>
      <c r="P232" s="11"/>
      <c r="Q232" s="11"/>
      <c r="R232" s="12" t="str">
        <f aca="false">IF(OR(C232="",N(J232)=0),"",K232*2*(N(H232)*پارامترها!$B$4+N(I232)*پارامترها!$B$5)/J232)</f>
        <v/>
      </c>
      <c r="S232" s="12" t="str">
        <f aca="false">IF(C232="","",N(M232)*پارامترها!$B$6+N(N232)*پارامترها!$B$7+N(O232)*پارامترها!$B$8)</f>
        <v/>
      </c>
      <c r="T232" s="12" t="str">
        <f aca="false">IF(C232="","",N(R232)+N(S232))</f>
        <v/>
      </c>
      <c r="U232" s="10" t="str">
        <f aca="false">IF(C232="","",IF(P232&lt;&gt;"بله","ثبت نشده در HIS",IF(N(L232)&gt;0,"ثبت‌شده؛ مازاد بر سقف","ثبت‌شده")))</f>
        <v/>
      </c>
      <c r="V232" s="11"/>
    </row>
    <row r="233" customFormat="false" ht="15" hidden="false" customHeight="false" outlineLevel="0" collapsed="false">
      <c r="A233" s="10" t="str">
        <f aca="false">IF(C233="","",ROW()-3)</f>
        <v/>
      </c>
      <c r="B233" s="11"/>
      <c r="C233" s="11"/>
      <c r="D233" s="11"/>
      <c r="E233" s="11"/>
      <c r="F233" s="11"/>
      <c r="G233" s="11"/>
      <c r="H233" s="11"/>
      <c r="I233" s="11"/>
      <c r="J233" s="10" t="str">
        <f aca="false">IF(C233="","",N(H233)+N(I233))</f>
        <v/>
      </c>
      <c r="K233" s="10" t="str">
        <f aca="false">IF(C233="","",MIN(J233,پارامترها!$B$3))</f>
        <v/>
      </c>
      <c r="L233" s="10" t="str">
        <f aca="false">IF(C233="","",MAX(0,J233-پارامترها!$B$3))</f>
        <v/>
      </c>
      <c r="M233" s="11"/>
      <c r="N233" s="11"/>
      <c r="O233" s="11"/>
      <c r="P233" s="11"/>
      <c r="Q233" s="11"/>
      <c r="R233" s="12" t="str">
        <f aca="false">IF(OR(C233="",N(J233)=0),"",K233*2*(N(H233)*پارامترها!$B$4+N(I233)*پارامترها!$B$5)/J233)</f>
        <v/>
      </c>
      <c r="S233" s="12" t="str">
        <f aca="false">IF(C233="","",N(M233)*پارامترها!$B$6+N(N233)*پارامترها!$B$7+N(O233)*پارامترها!$B$8)</f>
        <v/>
      </c>
      <c r="T233" s="12" t="str">
        <f aca="false">IF(C233="","",N(R233)+N(S233))</f>
        <v/>
      </c>
      <c r="U233" s="10" t="str">
        <f aca="false">IF(C233="","",IF(P233&lt;&gt;"بله","ثبت نشده در HIS",IF(N(L233)&gt;0,"ثبت‌شده؛ مازاد بر سقف","ثبت‌شده")))</f>
        <v/>
      </c>
      <c r="V233" s="11"/>
    </row>
    <row r="234" customFormat="false" ht="15" hidden="false" customHeight="false" outlineLevel="0" collapsed="false">
      <c r="A234" s="10" t="str">
        <f aca="false">IF(C234="","",ROW()-3)</f>
        <v/>
      </c>
      <c r="B234" s="11"/>
      <c r="C234" s="11"/>
      <c r="D234" s="11"/>
      <c r="E234" s="11"/>
      <c r="F234" s="11"/>
      <c r="G234" s="11"/>
      <c r="H234" s="11"/>
      <c r="I234" s="11"/>
      <c r="J234" s="10" t="str">
        <f aca="false">IF(C234="","",N(H234)+N(I234))</f>
        <v/>
      </c>
      <c r="K234" s="10" t="str">
        <f aca="false">IF(C234="","",MIN(J234,پارامترها!$B$3))</f>
        <v/>
      </c>
      <c r="L234" s="10" t="str">
        <f aca="false">IF(C234="","",MAX(0,J234-پارامترها!$B$3))</f>
        <v/>
      </c>
      <c r="M234" s="11"/>
      <c r="N234" s="11"/>
      <c r="O234" s="11"/>
      <c r="P234" s="11"/>
      <c r="Q234" s="11"/>
      <c r="R234" s="12" t="str">
        <f aca="false">IF(OR(C234="",N(J234)=0),"",K234*2*(N(H234)*پارامترها!$B$4+N(I234)*پارامترها!$B$5)/J234)</f>
        <v/>
      </c>
      <c r="S234" s="12" t="str">
        <f aca="false">IF(C234="","",N(M234)*پارامترها!$B$6+N(N234)*پارامترها!$B$7+N(O234)*پارامترها!$B$8)</f>
        <v/>
      </c>
      <c r="T234" s="12" t="str">
        <f aca="false">IF(C234="","",N(R234)+N(S234))</f>
        <v/>
      </c>
      <c r="U234" s="10" t="str">
        <f aca="false">IF(C234="","",IF(P234&lt;&gt;"بله","ثبت نشده در HIS",IF(N(L234)&gt;0,"ثبت‌شده؛ مازاد بر سقف","ثبت‌شده")))</f>
        <v/>
      </c>
      <c r="V234" s="11"/>
    </row>
    <row r="235" customFormat="false" ht="15" hidden="false" customHeight="false" outlineLevel="0" collapsed="false">
      <c r="A235" s="10" t="str">
        <f aca="false">IF(C235="","",ROW()-3)</f>
        <v/>
      </c>
      <c r="B235" s="11"/>
      <c r="C235" s="11"/>
      <c r="D235" s="11"/>
      <c r="E235" s="11"/>
      <c r="F235" s="11"/>
      <c r="G235" s="11"/>
      <c r="H235" s="11"/>
      <c r="I235" s="11"/>
      <c r="J235" s="10" t="str">
        <f aca="false">IF(C235="","",N(H235)+N(I235))</f>
        <v/>
      </c>
      <c r="K235" s="10" t="str">
        <f aca="false">IF(C235="","",MIN(J235,پارامترها!$B$3))</f>
        <v/>
      </c>
      <c r="L235" s="10" t="str">
        <f aca="false">IF(C235="","",MAX(0,J235-پارامترها!$B$3))</f>
        <v/>
      </c>
      <c r="M235" s="11"/>
      <c r="N235" s="11"/>
      <c r="O235" s="11"/>
      <c r="P235" s="11"/>
      <c r="Q235" s="11"/>
      <c r="R235" s="12" t="str">
        <f aca="false">IF(OR(C235="",N(J235)=0),"",K235*2*(N(H235)*پارامترها!$B$4+N(I235)*پارامترها!$B$5)/J235)</f>
        <v/>
      </c>
      <c r="S235" s="12" t="str">
        <f aca="false">IF(C235="","",N(M235)*پارامترها!$B$6+N(N235)*پارامترها!$B$7+N(O235)*پارامترها!$B$8)</f>
        <v/>
      </c>
      <c r="T235" s="12" t="str">
        <f aca="false">IF(C235="","",N(R235)+N(S235))</f>
        <v/>
      </c>
      <c r="U235" s="10" t="str">
        <f aca="false">IF(C235="","",IF(P235&lt;&gt;"بله","ثبت نشده در HIS",IF(N(L235)&gt;0,"ثبت‌شده؛ مازاد بر سقف","ثبت‌شده")))</f>
        <v/>
      </c>
      <c r="V235" s="11"/>
    </row>
    <row r="236" customFormat="false" ht="15" hidden="false" customHeight="false" outlineLevel="0" collapsed="false">
      <c r="A236" s="10" t="str">
        <f aca="false">IF(C236="","",ROW()-3)</f>
        <v/>
      </c>
      <c r="B236" s="11"/>
      <c r="C236" s="11"/>
      <c r="D236" s="11"/>
      <c r="E236" s="11"/>
      <c r="F236" s="11"/>
      <c r="G236" s="11"/>
      <c r="H236" s="11"/>
      <c r="I236" s="11"/>
      <c r="J236" s="10" t="str">
        <f aca="false">IF(C236="","",N(H236)+N(I236))</f>
        <v/>
      </c>
      <c r="K236" s="10" t="str">
        <f aca="false">IF(C236="","",MIN(J236,پارامترها!$B$3))</f>
        <v/>
      </c>
      <c r="L236" s="10" t="str">
        <f aca="false">IF(C236="","",MAX(0,J236-پارامترها!$B$3))</f>
        <v/>
      </c>
      <c r="M236" s="11"/>
      <c r="N236" s="11"/>
      <c r="O236" s="11"/>
      <c r="P236" s="11"/>
      <c r="Q236" s="11"/>
      <c r="R236" s="12" t="str">
        <f aca="false">IF(OR(C236="",N(J236)=0),"",K236*2*(N(H236)*پارامترها!$B$4+N(I236)*پارامترها!$B$5)/J236)</f>
        <v/>
      </c>
      <c r="S236" s="12" t="str">
        <f aca="false">IF(C236="","",N(M236)*پارامترها!$B$6+N(N236)*پارامترها!$B$7+N(O236)*پارامترها!$B$8)</f>
        <v/>
      </c>
      <c r="T236" s="12" t="str">
        <f aca="false">IF(C236="","",N(R236)+N(S236))</f>
        <v/>
      </c>
      <c r="U236" s="10" t="str">
        <f aca="false">IF(C236="","",IF(P236&lt;&gt;"بله","ثبت نشده در HIS",IF(N(L236)&gt;0,"ثبت‌شده؛ مازاد بر سقف","ثبت‌شده")))</f>
        <v/>
      </c>
      <c r="V236" s="11"/>
    </row>
    <row r="237" customFormat="false" ht="15" hidden="false" customHeight="false" outlineLevel="0" collapsed="false">
      <c r="A237" s="10" t="str">
        <f aca="false">IF(C237="","",ROW()-3)</f>
        <v/>
      </c>
      <c r="B237" s="11"/>
      <c r="C237" s="11"/>
      <c r="D237" s="11"/>
      <c r="E237" s="11"/>
      <c r="F237" s="11"/>
      <c r="G237" s="11"/>
      <c r="H237" s="11"/>
      <c r="I237" s="11"/>
      <c r="J237" s="10" t="str">
        <f aca="false">IF(C237="","",N(H237)+N(I237))</f>
        <v/>
      </c>
      <c r="K237" s="10" t="str">
        <f aca="false">IF(C237="","",MIN(J237,پارامترها!$B$3))</f>
        <v/>
      </c>
      <c r="L237" s="10" t="str">
        <f aca="false">IF(C237="","",MAX(0,J237-پارامترها!$B$3))</f>
        <v/>
      </c>
      <c r="M237" s="11"/>
      <c r="N237" s="11"/>
      <c r="O237" s="11"/>
      <c r="P237" s="11"/>
      <c r="Q237" s="11"/>
      <c r="R237" s="12" t="str">
        <f aca="false">IF(OR(C237="",N(J237)=0),"",K237*2*(N(H237)*پارامترها!$B$4+N(I237)*پارامترها!$B$5)/J237)</f>
        <v/>
      </c>
      <c r="S237" s="12" t="str">
        <f aca="false">IF(C237="","",N(M237)*پارامترها!$B$6+N(N237)*پارامترها!$B$7+N(O237)*پارامترها!$B$8)</f>
        <v/>
      </c>
      <c r="T237" s="12" t="str">
        <f aca="false">IF(C237="","",N(R237)+N(S237))</f>
        <v/>
      </c>
      <c r="U237" s="10" t="str">
        <f aca="false">IF(C237="","",IF(P237&lt;&gt;"بله","ثبت نشده در HIS",IF(N(L237)&gt;0,"ثبت‌شده؛ مازاد بر سقف","ثبت‌شده")))</f>
        <v/>
      </c>
      <c r="V237" s="11"/>
    </row>
    <row r="238" customFormat="false" ht="15" hidden="false" customHeight="false" outlineLevel="0" collapsed="false">
      <c r="A238" s="10" t="str">
        <f aca="false">IF(C238="","",ROW()-3)</f>
        <v/>
      </c>
      <c r="B238" s="11"/>
      <c r="C238" s="11"/>
      <c r="D238" s="11"/>
      <c r="E238" s="11"/>
      <c r="F238" s="11"/>
      <c r="G238" s="11"/>
      <c r="H238" s="11"/>
      <c r="I238" s="11"/>
      <c r="J238" s="10" t="str">
        <f aca="false">IF(C238="","",N(H238)+N(I238))</f>
        <v/>
      </c>
      <c r="K238" s="10" t="str">
        <f aca="false">IF(C238="","",MIN(J238,پارامترها!$B$3))</f>
        <v/>
      </c>
      <c r="L238" s="10" t="str">
        <f aca="false">IF(C238="","",MAX(0,J238-پارامترها!$B$3))</f>
        <v/>
      </c>
      <c r="M238" s="11"/>
      <c r="N238" s="11"/>
      <c r="O238" s="11"/>
      <c r="P238" s="11"/>
      <c r="Q238" s="11"/>
      <c r="R238" s="12" t="str">
        <f aca="false">IF(OR(C238="",N(J238)=0),"",K238*2*(N(H238)*پارامترها!$B$4+N(I238)*پارامترها!$B$5)/J238)</f>
        <v/>
      </c>
      <c r="S238" s="12" t="str">
        <f aca="false">IF(C238="","",N(M238)*پارامترها!$B$6+N(N238)*پارامترها!$B$7+N(O238)*پارامترها!$B$8)</f>
        <v/>
      </c>
      <c r="T238" s="12" t="str">
        <f aca="false">IF(C238="","",N(R238)+N(S238))</f>
        <v/>
      </c>
      <c r="U238" s="10" t="str">
        <f aca="false">IF(C238="","",IF(P238&lt;&gt;"بله","ثبت نشده در HIS",IF(N(L238)&gt;0,"ثبت‌شده؛ مازاد بر سقف","ثبت‌شده")))</f>
        <v/>
      </c>
      <c r="V238" s="11"/>
    </row>
    <row r="239" customFormat="false" ht="15" hidden="false" customHeight="false" outlineLevel="0" collapsed="false">
      <c r="A239" s="10" t="str">
        <f aca="false">IF(C239="","",ROW()-3)</f>
        <v/>
      </c>
      <c r="B239" s="11"/>
      <c r="C239" s="11"/>
      <c r="D239" s="11"/>
      <c r="E239" s="11"/>
      <c r="F239" s="11"/>
      <c r="G239" s="11"/>
      <c r="H239" s="11"/>
      <c r="I239" s="11"/>
      <c r="J239" s="10" t="str">
        <f aca="false">IF(C239="","",N(H239)+N(I239))</f>
        <v/>
      </c>
      <c r="K239" s="10" t="str">
        <f aca="false">IF(C239="","",MIN(J239,پارامترها!$B$3))</f>
        <v/>
      </c>
      <c r="L239" s="10" t="str">
        <f aca="false">IF(C239="","",MAX(0,J239-پارامترها!$B$3))</f>
        <v/>
      </c>
      <c r="M239" s="11"/>
      <c r="N239" s="11"/>
      <c r="O239" s="11"/>
      <c r="P239" s="11"/>
      <c r="Q239" s="11"/>
      <c r="R239" s="12" t="str">
        <f aca="false">IF(OR(C239="",N(J239)=0),"",K239*2*(N(H239)*پارامترها!$B$4+N(I239)*پارامترها!$B$5)/J239)</f>
        <v/>
      </c>
      <c r="S239" s="12" t="str">
        <f aca="false">IF(C239="","",N(M239)*پارامترها!$B$6+N(N239)*پارامترها!$B$7+N(O239)*پارامترها!$B$8)</f>
        <v/>
      </c>
      <c r="T239" s="12" t="str">
        <f aca="false">IF(C239="","",N(R239)+N(S239))</f>
        <v/>
      </c>
      <c r="U239" s="10" t="str">
        <f aca="false">IF(C239="","",IF(P239&lt;&gt;"بله","ثبت نشده در HIS",IF(N(L239)&gt;0,"ثبت‌شده؛ مازاد بر سقف","ثبت‌شده")))</f>
        <v/>
      </c>
      <c r="V239" s="11"/>
    </row>
    <row r="240" customFormat="false" ht="15" hidden="false" customHeight="false" outlineLevel="0" collapsed="false">
      <c r="A240" s="10" t="str">
        <f aca="false">IF(C240="","",ROW()-3)</f>
        <v/>
      </c>
      <c r="B240" s="11"/>
      <c r="C240" s="11"/>
      <c r="D240" s="11"/>
      <c r="E240" s="11"/>
      <c r="F240" s="11"/>
      <c r="G240" s="11"/>
      <c r="H240" s="11"/>
      <c r="I240" s="11"/>
      <c r="J240" s="10" t="str">
        <f aca="false">IF(C240="","",N(H240)+N(I240))</f>
        <v/>
      </c>
      <c r="K240" s="10" t="str">
        <f aca="false">IF(C240="","",MIN(J240,پارامترها!$B$3))</f>
        <v/>
      </c>
      <c r="L240" s="10" t="str">
        <f aca="false">IF(C240="","",MAX(0,J240-پارامترها!$B$3))</f>
        <v/>
      </c>
      <c r="M240" s="11"/>
      <c r="N240" s="11"/>
      <c r="O240" s="11"/>
      <c r="P240" s="11"/>
      <c r="Q240" s="11"/>
      <c r="R240" s="12" t="str">
        <f aca="false">IF(OR(C240="",N(J240)=0),"",K240*2*(N(H240)*پارامترها!$B$4+N(I240)*پارامترها!$B$5)/J240)</f>
        <v/>
      </c>
      <c r="S240" s="12" t="str">
        <f aca="false">IF(C240="","",N(M240)*پارامترها!$B$6+N(N240)*پارامترها!$B$7+N(O240)*پارامترها!$B$8)</f>
        <v/>
      </c>
      <c r="T240" s="12" t="str">
        <f aca="false">IF(C240="","",N(R240)+N(S240))</f>
        <v/>
      </c>
      <c r="U240" s="10" t="str">
        <f aca="false">IF(C240="","",IF(P240&lt;&gt;"بله","ثبت نشده در HIS",IF(N(L240)&gt;0,"ثبت‌شده؛ مازاد بر سقف","ثبت‌شده")))</f>
        <v/>
      </c>
      <c r="V240" s="11"/>
    </row>
    <row r="241" customFormat="false" ht="15" hidden="false" customHeight="false" outlineLevel="0" collapsed="false">
      <c r="A241" s="10" t="str">
        <f aca="false">IF(C241="","",ROW()-3)</f>
        <v/>
      </c>
      <c r="B241" s="11"/>
      <c r="C241" s="11"/>
      <c r="D241" s="11"/>
      <c r="E241" s="11"/>
      <c r="F241" s="11"/>
      <c r="G241" s="11"/>
      <c r="H241" s="11"/>
      <c r="I241" s="11"/>
      <c r="J241" s="10" t="str">
        <f aca="false">IF(C241="","",N(H241)+N(I241))</f>
        <v/>
      </c>
      <c r="K241" s="10" t="str">
        <f aca="false">IF(C241="","",MIN(J241,پارامترها!$B$3))</f>
        <v/>
      </c>
      <c r="L241" s="10" t="str">
        <f aca="false">IF(C241="","",MAX(0,J241-پارامترها!$B$3))</f>
        <v/>
      </c>
      <c r="M241" s="11"/>
      <c r="N241" s="11"/>
      <c r="O241" s="11"/>
      <c r="P241" s="11"/>
      <c r="Q241" s="11"/>
      <c r="R241" s="12" t="str">
        <f aca="false">IF(OR(C241="",N(J241)=0),"",K241*2*(N(H241)*پارامترها!$B$4+N(I241)*پارامترها!$B$5)/J241)</f>
        <v/>
      </c>
      <c r="S241" s="12" t="str">
        <f aca="false">IF(C241="","",N(M241)*پارامترها!$B$6+N(N241)*پارامترها!$B$7+N(O241)*پارامترها!$B$8)</f>
        <v/>
      </c>
      <c r="T241" s="12" t="str">
        <f aca="false">IF(C241="","",N(R241)+N(S241))</f>
        <v/>
      </c>
      <c r="U241" s="10" t="str">
        <f aca="false">IF(C241="","",IF(P241&lt;&gt;"بله","ثبت نشده در HIS",IF(N(L241)&gt;0,"ثبت‌شده؛ مازاد بر سقف","ثبت‌شده")))</f>
        <v/>
      </c>
      <c r="V241" s="11"/>
    </row>
    <row r="242" customFormat="false" ht="15" hidden="false" customHeight="false" outlineLevel="0" collapsed="false">
      <c r="A242" s="10" t="str">
        <f aca="false">IF(C242="","",ROW()-3)</f>
        <v/>
      </c>
      <c r="B242" s="11"/>
      <c r="C242" s="11"/>
      <c r="D242" s="11"/>
      <c r="E242" s="11"/>
      <c r="F242" s="11"/>
      <c r="G242" s="11"/>
      <c r="H242" s="11"/>
      <c r="I242" s="11"/>
      <c r="J242" s="10" t="str">
        <f aca="false">IF(C242="","",N(H242)+N(I242))</f>
        <v/>
      </c>
      <c r="K242" s="10" t="str">
        <f aca="false">IF(C242="","",MIN(J242,پارامترها!$B$3))</f>
        <v/>
      </c>
      <c r="L242" s="10" t="str">
        <f aca="false">IF(C242="","",MAX(0,J242-پارامترها!$B$3))</f>
        <v/>
      </c>
      <c r="M242" s="11"/>
      <c r="N242" s="11"/>
      <c r="O242" s="11"/>
      <c r="P242" s="11"/>
      <c r="Q242" s="11"/>
      <c r="R242" s="12" t="str">
        <f aca="false">IF(OR(C242="",N(J242)=0),"",K242*2*(N(H242)*پارامترها!$B$4+N(I242)*پارامترها!$B$5)/J242)</f>
        <v/>
      </c>
      <c r="S242" s="12" t="str">
        <f aca="false">IF(C242="","",N(M242)*پارامترها!$B$6+N(N242)*پارامترها!$B$7+N(O242)*پارامترها!$B$8)</f>
        <v/>
      </c>
      <c r="T242" s="12" t="str">
        <f aca="false">IF(C242="","",N(R242)+N(S242))</f>
        <v/>
      </c>
      <c r="U242" s="10" t="str">
        <f aca="false">IF(C242="","",IF(P242&lt;&gt;"بله","ثبت نشده در HIS",IF(N(L242)&gt;0,"ثبت‌شده؛ مازاد بر سقف","ثبت‌شده")))</f>
        <v/>
      </c>
      <c r="V242" s="11"/>
    </row>
    <row r="243" customFormat="false" ht="15" hidden="false" customHeight="false" outlineLevel="0" collapsed="false">
      <c r="A243" s="10" t="str">
        <f aca="false">IF(C243="","",ROW()-3)</f>
        <v/>
      </c>
      <c r="B243" s="11"/>
      <c r="C243" s="11"/>
      <c r="D243" s="11"/>
      <c r="E243" s="11"/>
      <c r="F243" s="11"/>
      <c r="G243" s="11"/>
      <c r="H243" s="11"/>
      <c r="I243" s="11"/>
      <c r="J243" s="10" t="str">
        <f aca="false">IF(C243="","",N(H243)+N(I243))</f>
        <v/>
      </c>
      <c r="K243" s="10" t="str">
        <f aca="false">IF(C243="","",MIN(J243,پارامترها!$B$3))</f>
        <v/>
      </c>
      <c r="L243" s="10" t="str">
        <f aca="false">IF(C243="","",MAX(0,J243-پارامترها!$B$3))</f>
        <v/>
      </c>
      <c r="M243" s="11"/>
      <c r="N243" s="11"/>
      <c r="O243" s="11"/>
      <c r="P243" s="11"/>
      <c r="Q243" s="11"/>
      <c r="R243" s="12" t="str">
        <f aca="false">IF(OR(C243="",N(J243)=0),"",K243*2*(N(H243)*پارامترها!$B$4+N(I243)*پارامترها!$B$5)/J243)</f>
        <v/>
      </c>
      <c r="S243" s="12" t="str">
        <f aca="false">IF(C243="","",N(M243)*پارامترها!$B$6+N(N243)*پارامترها!$B$7+N(O243)*پارامترها!$B$8)</f>
        <v/>
      </c>
      <c r="T243" s="12" t="str">
        <f aca="false">IF(C243="","",N(R243)+N(S243))</f>
        <v/>
      </c>
      <c r="U243" s="10" t="str">
        <f aca="false">IF(C243="","",IF(P243&lt;&gt;"بله","ثبت نشده در HIS",IF(N(L243)&gt;0,"ثبت‌شده؛ مازاد بر سقف","ثبت‌شده")))</f>
        <v/>
      </c>
      <c r="V243" s="11"/>
    </row>
    <row r="244" customFormat="false" ht="15" hidden="false" customHeight="false" outlineLevel="0" collapsed="false">
      <c r="A244" s="10" t="str">
        <f aca="false">IF(C244="","",ROW()-3)</f>
        <v/>
      </c>
      <c r="B244" s="11"/>
      <c r="C244" s="11"/>
      <c r="D244" s="11"/>
      <c r="E244" s="11"/>
      <c r="F244" s="11"/>
      <c r="G244" s="11"/>
      <c r="H244" s="11"/>
      <c r="I244" s="11"/>
      <c r="J244" s="10" t="str">
        <f aca="false">IF(C244="","",N(H244)+N(I244))</f>
        <v/>
      </c>
      <c r="K244" s="10" t="str">
        <f aca="false">IF(C244="","",MIN(J244,پارامترها!$B$3))</f>
        <v/>
      </c>
      <c r="L244" s="10" t="str">
        <f aca="false">IF(C244="","",MAX(0,J244-پارامترها!$B$3))</f>
        <v/>
      </c>
      <c r="M244" s="11"/>
      <c r="N244" s="11"/>
      <c r="O244" s="11"/>
      <c r="P244" s="11"/>
      <c r="Q244" s="11"/>
      <c r="R244" s="12" t="str">
        <f aca="false">IF(OR(C244="",N(J244)=0),"",K244*2*(N(H244)*پارامترها!$B$4+N(I244)*پارامترها!$B$5)/J244)</f>
        <v/>
      </c>
      <c r="S244" s="12" t="str">
        <f aca="false">IF(C244="","",N(M244)*پارامترها!$B$6+N(N244)*پارامترها!$B$7+N(O244)*پارامترها!$B$8)</f>
        <v/>
      </c>
      <c r="T244" s="12" t="str">
        <f aca="false">IF(C244="","",N(R244)+N(S244))</f>
        <v/>
      </c>
      <c r="U244" s="10" t="str">
        <f aca="false">IF(C244="","",IF(P244&lt;&gt;"بله","ثبت نشده در HIS",IF(N(L244)&gt;0,"ثبت‌شده؛ مازاد بر سقف","ثبت‌شده")))</f>
        <v/>
      </c>
      <c r="V244" s="11"/>
    </row>
    <row r="245" customFormat="false" ht="15" hidden="false" customHeight="false" outlineLevel="0" collapsed="false">
      <c r="A245" s="10" t="str">
        <f aca="false">IF(C245="","",ROW()-3)</f>
        <v/>
      </c>
      <c r="B245" s="11"/>
      <c r="C245" s="11"/>
      <c r="D245" s="11"/>
      <c r="E245" s="11"/>
      <c r="F245" s="11"/>
      <c r="G245" s="11"/>
      <c r="H245" s="11"/>
      <c r="I245" s="11"/>
      <c r="J245" s="10" t="str">
        <f aca="false">IF(C245="","",N(H245)+N(I245))</f>
        <v/>
      </c>
      <c r="K245" s="10" t="str">
        <f aca="false">IF(C245="","",MIN(J245,پارامترها!$B$3))</f>
        <v/>
      </c>
      <c r="L245" s="10" t="str">
        <f aca="false">IF(C245="","",MAX(0,J245-پارامترها!$B$3))</f>
        <v/>
      </c>
      <c r="M245" s="11"/>
      <c r="N245" s="11"/>
      <c r="O245" s="11"/>
      <c r="P245" s="11"/>
      <c r="Q245" s="11"/>
      <c r="R245" s="12" t="str">
        <f aca="false">IF(OR(C245="",N(J245)=0),"",K245*2*(N(H245)*پارامترها!$B$4+N(I245)*پارامترها!$B$5)/J245)</f>
        <v/>
      </c>
      <c r="S245" s="12" t="str">
        <f aca="false">IF(C245="","",N(M245)*پارامترها!$B$6+N(N245)*پارامترها!$B$7+N(O245)*پارامترها!$B$8)</f>
        <v/>
      </c>
      <c r="T245" s="12" t="str">
        <f aca="false">IF(C245="","",N(R245)+N(S245))</f>
        <v/>
      </c>
      <c r="U245" s="10" t="str">
        <f aca="false">IF(C245="","",IF(P245&lt;&gt;"بله","ثبت نشده در HIS",IF(N(L245)&gt;0,"ثبت‌شده؛ مازاد بر سقف","ثبت‌شده")))</f>
        <v/>
      </c>
      <c r="V245" s="11"/>
    </row>
    <row r="246" customFormat="false" ht="15" hidden="false" customHeight="false" outlineLevel="0" collapsed="false">
      <c r="A246" s="10" t="str">
        <f aca="false">IF(C246="","",ROW()-3)</f>
        <v/>
      </c>
      <c r="B246" s="11"/>
      <c r="C246" s="11"/>
      <c r="D246" s="11"/>
      <c r="E246" s="11"/>
      <c r="F246" s="11"/>
      <c r="G246" s="11"/>
      <c r="H246" s="11"/>
      <c r="I246" s="11"/>
      <c r="J246" s="10" t="str">
        <f aca="false">IF(C246="","",N(H246)+N(I246))</f>
        <v/>
      </c>
      <c r="K246" s="10" t="str">
        <f aca="false">IF(C246="","",MIN(J246,پارامترها!$B$3))</f>
        <v/>
      </c>
      <c r="L246" s="10" t="str">
        <f aca="false">IF(C246="","",MAX(0,J246-پارامترها!$B$3))</f>
        <v/>
      </c>
      <c r="M246" s="11"/>
      <c r="N246" s="11"/>
      <c r="O246" s="11"/>
      <c r="P246" s="11"/>
      <c r="Q246" s="11"/>
      <c r="R246" s="12" t="str">
        <f aca="false">IF(OR(C246="",N(J246)=0),"",K246*2*(N(H246)*پارامترها!$B$4+N(I246)*پارامترها!$B$5)/J246)</f>
        <v/>
      </c>
      <c r="S246" s="12" t="str">
        <f aca="false">IF(C246="","",N(M246)*پارامترها!$B$6+N(N246)*پارامترها!$B$7+N(O246)*پارامترها!$B$8)</f>
        <v/>
      </c>
      <c r="T246" s="12" t="str">
        <f aca="false">IF(C246="","",N(R246)+N(S246))</f>
        <v/>
      </c>
      <c r="U246" s="10" t="str">
        <f aca="false">IF(C246="","",IF(P246&lt;&gt;"بله","ثبت نشده در HIS",IF(N(L246)&gt;0,"ثبت‌شده؛ مازاد بر سقف","ثبت‌شده")))</f>
        <v/>
      </c>
      <c r="V246" s="11"/>
    </row>
    <row r="247" customFormat="false" ht="15" hidden="false" customHeight="false" outlineLevel="0" collapsed="false">
      <c r="A247" s="10" t="str">
        <f aca="false">IF(C247="","",ROW()-3)</f>
        <v/>
      </c>
      <c r="B247" s="11"/>
      <c r="C247" s="11"/>
      <c r="D247" s="11"/>
      <c r="E247" s="11"/>
      <c r="F247" s="11"/>
      <c r="G247" s="11"/>
      <c r="H247" s="11"/>
      <c r="I247" s="11"/>
      <c r="J247" s="10" t="str">
        <f aca="false">IF(C247="","",N(H247)+N(I247))</f>
        <v/>
      </c>
      <c r="K247" s="10" t="str">
        <f aca="false">IF(C247="","",MIN(J247,پارامترها!$B$3))</f>
        <v/>
      </c>
      <c r="L247" s="10" t="str">
        <f aca="false">IF(C247="","",MAX(0,J247-پارامترها!$B$3))</f>
        <v/>
      </c>
      <c r="M247" s="11"/>
      <c r="N247" s="11"/>
      <c r="O247" s="11"/>
      <c r="P247" s="11"/>
      <c r="Q247" s="11"/>
      <c r="R247" s="12" t="str">
        <f aca="false">IF(OR(C247="",N(J247)=0),"",K247*2*(N(H247)*پارامترها!$B$4+N(I247)*پارامترها!$B$5)/J247)</f>
        <v/>
      </c>
      <c r="S247" s="12" t="str">
        <f aca="false">IF(C247="","",N(M247)*پارامترها!$B$6+N(N247)*پارامترها!$B$7+N(O247)*پارامترها!$B$8)</f>
        <v/>
      </c>
      <c r="T247" s="12" t="str">
        <f aca="false">IF(C247="","",N(R247)+N(S247))</f>
        <v/>
      </c>
      <c r="U247" s="10" t="str">
        <f aca="false">IF(C247="","",IF(P247&lt;&gt;"بله","ثبت نشده در HIS",IF(N(L247)&gt;0,"ثبت‌شده؛ مازاد بر سقف","ثبت‌شده")))</f>
        <v/>
      </c>
      <c r="V247" s="11"/>
    </row>
    <row r="248" customFormat="false" ht="15" hidden="false" customHeight="false" outlineLevel="0" collapsed="false">
      <c r="A248" s="10" t="str">
        <f aca="false">IF(C248="","",ROW()-3)</f>
        <v/>
      </c>
      <c r="B248" s="11"/>
      <c r="C248" s="11"/>
      <c r="D248" s="11"/>
      <c r="E248" s="11"/>
      <c r="F248" s="11"/>
      <c r="G248" s="11"/>
      <c r="H248" s="11"/>
      <c r="I248" s="11"/>
      <c r="J248" s="10" t="str">
        <f aca="false">IF(C248="","",N(H248)+N(I248))</f>
        <v/>
      </c>
      <c r="K248" s="10" t="str">
        <f aca="false">IF(C248="","",MIN(J248,پارامترها!$B$3))</f>
        <v/>
      </c>
      <c r="L248" s="10" t="str">
        <f aca="false">IF(C248="","",MAX(0,J248-پارامترها!$B$3))</f>
        <v/>
      </c>
      <c r="M248" s="11"/>
      <c r="N248" s="11"/>
      <c r="O248" s="11"/>
      <c r="P248" s="11"/>
      <c r="Q248" s="11"/>
      <c r="R248" s="12" t="str">
        <f aca="false">IF(OR(C248="",N(J248)=0),"",K248*2*(N(H248)*پارامترها!$B$4+N(I248)*پارامترها!$B$5)/J248)</f>
        <v/>
      </c>
      <c r="S248" s="12" t="str">
        <f aca="false">IF(C248="","",N(M248)*پارامترها!$B$6+N(N248)*پارامترها!$B$7+N(O248)*پارامترها!$B$8)</f>
        <v/>
      </c>
      <c r="T248" s="12" t="str">
        <f aca="false">IF(C248="","",N(R248)+N(S248))</f>
        <v/>
      </c>
      <c r="U248" s="10" t="str">
        <f aca="false">IF(C248="","",IF(P248&lt;&gt;"بله","ثبت نشده در HIS",IF(N(L248)&gt;0,"ثبت‌شده؛ مازاد بر سقف","ثبت‌شده")))</f>
        <v/>
      </c>
      <c r="V248" s="11"/>
    </row>
    <row r="249" customFormat="false" ht="15" hidden="false" customHeight="false" outlineLevel="0" collapsed="false">
      <c r="A249" s="10" t="str">
        <f aca="false">IF(C249="","",ROW()-3)</f>
        <v/>
      </c>
      <c r="B249" s="11"/>
      <c r="C249" s="11"/>
      <c r="D249" s="11"/>
      <c r="E249" s="11"/>
      <c r="F249" s="11"/>
      <c r="G249" s="11"/>
      <c r="H249" s="11"/>
      <c r="I249" s="11"/>
      <c r="J249" s="10" t="str">
        <f aca="false">IF(C249="","",N(H249)+N(I249))</f>
        <v/>
      </c>
      <c r="K249" s="10" t="str">
        <f aca="false">IF(C249="","",MIN(J249,پارامترها!$B$3))</f>
        <v/>
      </c>
      <c r="L249" s="10" t="str">
        <f aca="false">IF(C249="","",MAX(0,J249-پارامترها!$B$3))</f>
        <v/>
      </c>
      <c r="M249" s="11"/>
      <c r="N249" s="11"/>
      <c r="O249" s="11"/>
      <c r="P249" s="11"/>
      <c r="Q249" s="11"/>
      <c r="R249" s="12" t="str">
        <f aca="false">IF(OR(C249="",N(J249)=0),"",K249*2*(N(H249)*پارامترها!$B$4+N(I249)*پارامترها!$B$5)/J249)</f>
        <v/>
      </c>
      <c r="S249" s="12" t="str">
        <f aca="false">IF(C249="","",N(M249)*پارامترها!$B$6+N(N249)*پارامترها!$B$7+N(O249)*پارامترها!$B$8)</f>
        <v/>
      </c>
      <c r="T249" s="12" t="str">
        <f aca="false">IF(C249="","",N(R249)+N(S249))</f>
        <v/>
      </c>
      <c r="U249" s="10" t="str">
        <f aca="false">IF(C249="","",IF(P249&lt;&gt;"بله","ثبت نشده در HIS",IF(N(L249)&gt;0,"ثبت‌شده؛ مازاد بر سقف","ثبت‌شده")))</f>
        <v/>
      </c>
      <c r="V249" s="11"/>
    </row>
    <row r="250" customFormat="false" ht="15" hidden="false" customHeight="false" outlineLevel="0" collapsed="false">
      <c r="A250" s="10" t="str">
        <f aca="false">IF(C250="","",ROW()-3)</f>
        <v/>
      </c>
      <c r="B250" s="11"/>
      <c r="C250" s="11"/>
      <c r="D250" s="11"/>
      <c r="E250" s="11"/>
      <c r="F250" s="11"/>
      <c r="G250" s="11"/>
      <c r="H250" s="11"/>
      <c r="I250" s="11"/>
      <c r="J250" s="10" t="str">
        <f aca="false">IF(C250="","",N(H250)+N(I250))</f>
        <v/>
      </c>
      <c r="K250" s="10" t="str">
        <f aca="false">IF(C250="","",MIN(J250,پارامترها!$B$3))</f>
        <v/>
      </c>
      <c r="L250" s="10" t="str">
        <f aca="false">IF(C250="","",MAX(0,J250-پارامترها!$B$3))</f>
        <v/>
      </c>
      <c r="M250" s="11"/>
      <c r="N250" s="11"/>
      <c r="O250" s="11"/>
      <c r="P250" s="11"/>
      <c r="Q250" s="11"/>
      <c r="R250" s="12" t="str">
        <f aca="false">IF(OR(C250="",N(J250)=0),"",K250*2*(N(H250)*پارامترها!$B$4+N(I250)*پارامترها!$B$5)/J250)</f>
        <v/>
      </c>
      <c r="S250" s="12" t="str">
        <f aca="false">IF(C250="","",N(M250)*پارامترها!$B$6+N(N250)*پارامترها!$B$7+N(O250)*پارامترها!$B$8)</f>
        <v/>
      </c>
      <c r="T250" s="12" t="str">
        <f aca="false">IF(C250="","",N(R250)+N(S250))</f>
        <v/>
      </c>
      <c r="U250" s="10" t="str">
        <f aca="false">IF(C250="","",IF(P250&lt;&gt;"بله","ثبت نشده در HIS",IF(N(L250)&gt;0,"ثبت‌شده؛ مازاد بر سقف","ثبت‌شده")))</f>
        <v/>
      </c>
      <c r="V250" s="11"/>
    </row>
    <row r="251" customFormat="false" ht="15" hidden="false" customHeight="false" outlineLevel="0" collapsed="false">
      <c r="A251" s="10" t="str">
        <f aca="false">IF(C251="","",ROW()-3)</f>
        <v/>
      </c>
      <c r="B251" s="11"/>
      <c r="C251" s="11"/>
      <c r="D251" s="11"/>
      <c r="E251" s="11"/>
      <c r="F251" s="11"/>
      <c r="G251" s="11"/>
      <c r="H251" s="11"/>
      <c r="I251" s="11"/>
      <c r="J251" s="10" t="str">
        <f aca="false">IF(C251="","",N(H251)+N(I251))</f>
        <v/>
      </c>
      <c r="K251" s="10" t="str">
        <f aca="false">IF(C251="","",MIN(J251,پارامترها!$B$3))</f>
        <v/>
      </c>
      <c r="L251" s="10" t="str">
        <f aca="false">IF(C251="","",MAX(0,J251-پارامترها!$B$3))</f>
        <v/>
      </c>
      <c r="M251" s="11"/>
      <c r="N251" s="11"/>
      <c r="O251" s="11"/>
      <c r="P251" s="11"/>
      <c r="Q251" s="11"/>
      <c r="R251" s="12" t="str">
        <f aca="false">IF(OR(C251="",N(J251)=0),"",K251*2*(N(H251)*پارامترها!$B$4+N(I251)*پارامترها!$B$5)/J251)</f>
        <v/>
      </c>
      <c r="S251" s="12" t="str">
        <f aca="false">IF(C251="","",N(M251)*پارامترها!$B$6+N(N251)*پارامترها!$B$7+N(O251)*پارامترها!$B$8)</f>
        <v/>
      </c>
      <c r="T251" s="12" t="str">
        <f aca="false">IF(C251="","",N(R251)+N(S251))</f>
        <v/>
      </c>
      <c r="U251" s="10" t="str">
        <f aca="false">IF(C251="","",IF(P251&lt;&gt;"بله","ثبت نشده در HIS",IF(N(L251)&gt;0,"ثبت‌شده؛ مازاد بر سقف","ثبت‌شده")))</f>
        <v/>
      </c>
      <c r="V251" s="11"/>
    </row>
    <row r="252" customFormat="false" ht="15" hidden="false" customHeight="false" outlineLevel="0" collapsed="false">
      <c r="A252" s="10" t="str">
        <f aca="false">IF(C252="","",ROW()-3)</f>
        <v/>
      </c>
      <c r="B252" s="11"/>
      <c r="C252" s="11"/>
      <c r="D252" s="11"/>
      <c r="E252" s="11"/>
      <c r="F252" s="11"/>
      <c r="G252" s="11"/>
      <c r="H252" s="11"/>
      <c r="I252" s="11"/>
      <c r="J252" s="10" t="str">
        <f aca="false">IF(C252="","",N(H252)+N(I252))</f>
        <v/>
      </c>
      <c r="K252" s="10" t="str">
        <f aca="false">IF(C252="","",MIN(J252,پارامترها!$B$3))</f>
        <v/>
      </c>
      <c r="L252" s="10" t="str">
        <f aca="false">IF(C252="","",MAX(0,J252-پارامترها!$B$3))</f>
        <v/>
      </c>
      <c r="M252" s="11"/>
      <c r="N252" s="11"/>
      <c r="O252" s="11"/>
      <c r="P252" s="11"/>
      <c r="Q252" s="11"/>
      <c r="R252" s="12" t="str">
        <f aca="false">IF(OR(C252="",N(J252)=0),"",K252*2*(N(H252)*پارامترها!$B$4+N(I252)*پارامترها!$B$5)/J252)</f>
        <v/>
      </c>
      <c r="S252" s="12" t="str">
        <f aca="false">IF(C252="","",N(M252)*پارامترها!$B$6+N(N252)*پارامترها!$B$7+N(O252)*پارامترها!$B$8)</f>
        <v/>
      </c>
      <c r="T252" s="12" t="str">
        <f aca="false">IF(C252="","",N(R252)+N(S252))</f>
        <v/>
      </c>
      <c r="U252" s="10" t="str">
        <f aca="false">IF(C252="","",IF(P252&lt;&gt;"بله","ثبت نشده در HIS",IF(N(L252)&gt;0,"ثبت‌شده؛ مازاد بر سقف","ثبت‌شده")))</f>
        <v/>
      </c>
      <c r="V252" s="11"/>
    </row>
    <row r="253" customFormat="false" ht="15" hidden="false" customHeight="false" outlineLevel="0" collapsed="false">
      <c r="A253" s="10" t="str">
        <f aca="false">IF(C253="","",ROW()-3)</f>
        <v/>
      </c>
      <c r="B253" s="11"/>
      <c r="C253" s="11"/>
      <c r="D253" s="11"/>
      <c r="E253" s="11"/>
      <c r="F253" s="11"/>
      <c r="G253" s="11"/>
      <c r="H253" s="11"/>
      <c r="I253" s="11"/>
      <c r="J253" s="10" t="str">
        <f aca="false">IF(C253="","",N(H253)+N(I253))</f>
        <v/>
      </c>
      <c r="K253" s="10" t="str">
        <f aca="false">IF(C253="","",MIN(J253,پارامترها!$B$3))</f>
        <v/>
      </c>
      <c r="L253" s="10" t="str">
        <f aca="false">IF(C253="","",MAX(0,J253-پارامترها!$B$3))</f>
        <v/>
      </c>
      <c r="M253" s="11"/>
      <c r="N253" s="11"/>
      <c r="O253" s="11"/>
      <c r="P253" s="11"/>
      <c r="Q253" s="11"/>
      <c r="R253" s="12" t="str">
        <f aca="false">IF(OR(C253="",N(J253)=0),"",K253*2*(N(H253)*پارامترها!$B$4+N(I253)*پارامترها!$B$5)/J253)</f>
        <v/>
      </c>
      <c r="S253" s="12" t="str">
        <f aca="false">IF(C253="","",N(M253)*پارامترها!$B$6+N(N253)*پارامترها!$B$7+N(O253)*پارامترها!$B$8)</f>
        <v/>
      </c>
      <c r="T253" s="12" t="str">
        <f aca="false">IF(C253="","",N(R253)+N(S253))</f>
        <v/>
      </c>
      <c r="U253" s="10" t="str">
        <f aca="false">IF(C253="","",IF(P253&lt;&gt;"بله","ثبت نشده در HIS",IF(N(L253)&gt;0,"ثبت‌شده؛ مازاد بر سقف","ثبت‌شده")))</f>
        <v/>
      </c>
      <c r="V253" s="11"/>
    </row>
    <row r="254" customFormat="false" ht="15" hidden="false" customHeight="false" outlineLevel="0" collapsed="false">
      <c r="A254" s="10" t="str">
        <f aca="false">IF(C254="","",ROW()-3)</f>
        <v/>
      </c>
      <c r="B254" s="11"/>
      <c r="C254" s="11"/>
      <c r="D254" s="11"/>
      <c r="E254" s="11"/>
      <c r="F254" s="11"/>
      <c r="G254" s="11"/>
      <c r="H254" s="11"/>
      <c r="I254" s="11"/>
      <c r="J254" s="10" t="str">
        <f aca="false">IF(C254="","",N(H254)+N(I254))</f>
        <v/>
      </c>
      <c r="K254" s="10" t="str">
        <f aca="false">IF(C254="","",MIN(J254,پارامترها!$B$3))</f>
        <v/>
      </c>
      <c r="L254" s="10" t="str">
        <f aca="false">IF(C254="","",MAX(0,J254-پارامترها!$B$3))</f>
        <v/>
      </c>
      <c r="M254" s="11"/>
      <c r="N254" s="11"/>
      <c r="O254" s="11"/>
      <c r="P254" s="11"/>
      <c r="Q254" s="11"/>
      <c r="R254" s="12" t="str">
        <f aca="false">IF(OR(C254="",N(J254)=0),"",K254*2*(N(H254)*پارامترها!$B$4+N(I254)*پارامترها!$B$5)/J254)</f>
        <v/>
      </c>
      <c r="S254" s="12" t="str">
        <f aca="false">IF(C254="","",N(M254)*پارامترها!$B$6+N(N254)*پارامترها!$B$7+N(O254)*پارامترها!$B$8)</f>
        <v/>
      </c>
      <c r="T254" s="12" t="str">
        <f aca="false">IF(C254="","",N(R254)+N(S254))</f>
        <v/>
      </c>
      <c r="U254" s="10" t="str">
        <f aca="false">IF(C254="","",IF(P254&lt;&gt;"بله","ثبت نشده در HIS",IF(N(L254)&gt;0,"ثبت‌شده؛ مازاد بر سقف","ثبت‌شده")))</f>
        <v/>
      </c>
      <c r="V254" s="11"/>
    </row>
    <row r="255" customFormat="false" ht="15" hidden="false" customHeight="false" outlineLevel="0" collapsed="false">
      <c r="A255" s="10" t="str">
        <f aca="false">IF(C255="","",ROW()-3)</f>
        <v/>
      </c>
      <c r="B255" s="11"/>
      <c r="C255" s="11"/>
      <c r="D255" s="11"/>
      <c r="E255" s="11"/>
      <c r="F255" s="11"/>
      <c r="G255" s="11"/>
      <c r="H255" s="11"/>
      <c r="I255" s="11"/>
      <c r="J255" s="10" t="str">
        <f aca="false">IF(C255="","",N(H255)+N(I255))</f>
        <v/>
      </c>
      <c r="K255" s="10" t="str">
        <f aca="false">IF(C255="","",MIN(J255,پارامترها!$B$3))</f>
        <v/>
      </c>
      <c r="L255" s="10" t="str">
        <f aca="false">IF(C255="","",MAX(0,J255-پارامترها!$B$3))</f>
        <v/>
      </c>
      <c r="M255" s="11"/>
      <c r="N255" s="11"/>
      <c r="O255" s="11"/>
      <c r="P255" s="11"/>
      <c r="Q255" s="11"/>
      <c r="R255" s="12" t="str">
        <f aca="false">IF(OR(C255="",N(J255)=0),"",K255*2*(N(H255)*پارامترها!$B$4+N(I255)*پارامترها!$B$5)/J255)</f>
        <v/>
      </c>
      <c r="S255" s="12" t="str">
        <f aca="false">IF(C255="","",N(M255)*پارامترها!$B$6+N(N255)*پارامترها!$B$7+N(O255)*پارامترها!$B$8)</f>
        <v/>
      </c>
      <c r="T255" s="12" t="str">
        <f aca="false">IF(C255="","",N(R255)+N(S255))</f>
        <v/>
      </c>
      <c r="U255" s="10" t="str">
        <f aca="false">IF(C255="","",IF(P255&lt;&gt;"بله","ثبت نشده در HIS",IF(N(L255)&gt;0,"ثبت‌شده؛ مازاد بر سقف","ثبت‌شده")))</f>
        <v/>
      </c>
      <c r="V255" s="11"/>
    </row>
    <row r="256" customFormat="false" ht="15" hidden="false" customHeight="false" outlineLevel="0" collapsed="false">
      <c r="A256" s="10" t="str">
        <f aca="false">IF(C256="","",ROW()-3)</f>
        <v/>
      </c>
      <c r="B256" s="11"/>
      <c r="C256" s="11"/>
      <c r="D256" s="11"/>
      <c r="E256" s="11"/>
      <c r="F256" s="11"/>
      <c r="G256" s="11"/>
      <c r="H256" s="11"/>
      <c r="I256" s="11"/>
      <c r="J256" s="10" t="str">
        <f aca="false">IF(C256="","",N(H256)+N(I256))</f>
        <v/>
      </c>
      <c r="K256" s="10" t="str">
        <f aca="false">IF(C256="","",MIN(J256,پارامترها!$B$3))</f>
        <v/>
      </c>
      <c r="L256" s="10" t="str">
        <f aca="false">IF(C256="","",MAX(0,J256-پارامترها!$B$3))</f>
        <v/>
      </c>
      <c r="M256" s="11"/>
      <c r="N256" s="11"/>
      <c r="O256" s="11"/>
      <c r="P256" s="11"/>
      <c r="Q256" s="11"/>
      <c r="R256" s="12" t="str">
        <f aca="false">IF(OR(C256="",N(J256)=0),"",K256*2*(N(H256)*پارامترها!$B$4+N(I256)*پارامترها!$B$5)/J256)</f>
        <v/>
      </c>
      <c r="S256" s="12" t="str">
        <f aca="false">IF(C256="","",N(M256)*پارامترها!$B$6+N(N256)*پارامترها!$B$7+N(O256)*پارامترها!$B$8)</f>
        <v/>
      </c>
      <c r="T256" s="12" t="str">
        <f aca="false">IF(C256="","",N(R256)+N(S256))</f>
        <v/>
      </c>
      <c r="U256" s="10" t="str">
        <f aca="false">IF(C256="","",IF(P256&lt;&gt;"بله","ثبت نشده در HIS",IF(N(L256)&gt;0,"ثبت‌شده؛ مازاد بر سقف","ثبت‌شده")))</f>
        <v/>
      </c>
      <c r="V256" s="11"/>
    </row>
    <row r="257" customFormat="false" ht="15" hidden="false" customHeight="false" outlineLevel="0" collapsed="false">
      <c r="A257" s="10" t="str">
        <f aca="false">IF(C257="","",ROW()-3)</f>
        <v/>
      </c>
      <c r="B257" s="11"/>
      <c r="C257" s="11"/>
      <c r="D257" s="11"/>
      <c r="E257" s="11"/>
      <c r="F257" s="11"/>
      <c r="G257" s="11"/>
      <c r="H257" s="11"/>
      <c r="I257" s="11"/>
      <c r="J257" s="10" t="str">
        <f aca="false">IF(C257="","",N(H257)+N(I257))</f>
        <v/>
      </c>
      <c r="K257" s="10" t="str">
        <f aca="false">IF(C257="","",MIN(J257,پارامترها!$B$3))</f>
        <v/>
      </c>
      <c r="L257" s="10" t="str">
        <f aca="false">IF(C257="","",MAX(0,J257-پارامترها!$B$3))</f>
        <v/>
      </c>
      <c r="M257" s="11"/>
      <c r="N257" s="11"/>
      <c r="O257" s="11"/>
      <c r="P257" s="11"/>
      <c r="Q257" s="11"/>
      <c r="R257" s="12" t="str">
        <f aca="false">IF(OR(C257="",N(J257)=0),"",K257*2*(N(H257)*پارامترها!$B$4+N(I257)*پارامترها!$B$5)/J257)</f>
        <v/>
      </c>
      <c r="S257" s="12" t="str">
        <f aca="false">IF(C257="","",N(M257)*پارامترها!$B$6+N(N257)*پارامترها!$B$7+N(O257)*پارامترها!$B$8)</f>
        <v/>
      </c>
      <c r="T257" s="12" t="str">
        <f aca="false">IF(C257="","",N(R257)+N(S257))</f>
        <v/>
      </c>
      <c r="U257" s="10" t="str">
        <f aca="false">IF(C257="","",IF(P257&lt;&gt;"بله","ثبت نشده در HIS",IF(N(L257)&gt;0,"ثبت‌شده؛ مازاد بر سقف","ثبت‌شده")))</f>
        <v/>
      </c>
      <c r="V257" s="11"/>
    </row>
    <row r="258" customFormat="false" ht="15" hidden="false" customHeight="false" outlineLevel="0" collapsed="false">
      <c r="A258" s="10" t="str">
        <f aca="false">IF(C258="","",ROW()-3)</f>
        <v/>
      </c>
      <c r="B258" s="11"/>
      <c r="C258" s="11"/>
      <c r="D258" s="11"/>
      <c r="E258" s="11"/>
      <c r="F258" s="11"/>
      <c r="G258" s="11"/>
      <c r="H258" s="11"/>
      <c r="I258" s="11"/>
      <c r="J258" s="10" t="str">
        <f aca="false">IF(C258="","",N(H258)+N(I258))</f>
        <v/>
      </c>
      <c r="K258" s="10" t="str">
        <f aca="false">IF(C258="","",MIN(J258,پارامترها!$B$3))</f>
        <v/>
      </c>
      <c r="L258" s="10" t="str">
        <f aca="false">IF(C258="","",MAX(0,J258-پارامترها!$B$3))</f>
        <v/>
      </c>
      <c r="M258" s="11"/>
      <c r="N258" s="11"/>
      <c r="O258" s="11"/>
      <c r="P258" s="11"/>
      <c r="Q258" s="11"/>
      <c r="R258" s="12" t="str">
        <f aca="false">IF(OR(C258="",N(J258)=0),"",K258*2*(N(H258)*پارامترها!$B$4+N(I258)*پارامترها!$B$5)/J258)</f>
        <v/>
      </c>
      <c r="S258" s="12" t="str">
        <f aca="false">IF(C258="","",N(M258)*پارامترها!$B$6+N(N258)*پارامترها!$B$7+N(O258)*پارامترها!$B$8)</f>
        <v/>
      </c>
      <c r="T258" s="12" t="str">
        <f aca="false">IF(C258="","",N(R258)+N(S258))</f>
        <v/>
      </c>
      <c r="U258" s="10" t="str">
        <f aca="false">IF(C258="","",IF(P258&lt;&gt;"بله","ثبت نشده در HIS",IF(N(L258)&gt;0,"ثبت‌شده؛ مازاد بر سقف","ثبت‌شده")))</f>
        <v/>
      </c>
      <c r="V258" s="11"/>
    </row>
    <row r="259" customFormat="false" ht="15" hidden="false" customHeight="false" outlineLevel="0" collapsed="false">
      <c r="A259" s="10" t="str">
        <f aca="false">IF(C259="","",ROW()-3)</f>
        <v/>
      </c>
      <c r="B259" s="11"/>
      <c r="C259" s="11"/>
      <c r="D259" s="11"/>
      <c r="E259" s="11"/>
      <c r="F259" s="11"/>
      <c r="G259" s="11"/>
      <c r="H259" s="11"/>
      <c r="I259" s="11"/>
      <c r="J259" s="10" t="str">
        <f aca="false">IF(C259="","",N(H259)+N(I259))</f>
        <v/>
      </c>
      <c r="K259" s="10" t="str">
        <f aca="false">IF(C259="","",MIN(J259,پارامترها!$B$3))</f>
        <v/>
      </c>
      <c r="L259" s="10" t="str">
        <f aca="false">IF(C259="","",MAX(0,J259-پارامترها!$B$3))</f>
        <v/>
      </c>
      <c r="M259" s="11"/>
      <c r="N259" s="11"/>
      <c r="O259" s="11"/>
      <c r="P259" s="11"/>
      <c r="Q259" s="11"/>
      <c r="R259" s="12" t="str">
        <f aca="false">IF(OR(C259="",N(J259)=0),"",K259*2*(N(H259)*پارامترها!$B$4+N(I259)*پارامترها!$B$5)/J259)</f>
        <v/>
      </c>
      <c r="S259" s="12" t="str">
        <f aca="false">IF(C259="","",N(M259)*پارامترها!$B$6+N(N259)*پارامترها!$B$7+N(O259)*پارامترها!$B$8)</f>
        <v/>
      </c>
      <c r="T259" s="12" t="str">
        <f aca="false">IF(C259="","",N(R259)+N(S259))</f>
        <v/>
      </c>
      <c r="U259" s="10" t="str">
        <f aca="false">IF(C259="","",IF(P259&lt;&gt;"بله","ثبت نشده در HIS",IF(N(L259)&gt;0,"ثبت‌شده؛ مازاد بر سقف","ثبت‌شده")))</f>
        <v/>
      </c>
      <c r="V259" s="11"/>
    </row>
    <row r="260" customFormat="false" ht="15" hidden="false" customHeight="false" outlineLevel="0" collapsed="false">
      <c r="A260" s="10" t="str">
        <f aca="false">IF(C260="","",ROW()-3)</f>
        <v/>
      </c>
      <c r="B260" s="11"/>
      <c r="C260" s="11"/>
      <c r="D260" s="11"/>
      <c r="E260" s="11"/>
      <c r="F260" s="11"/>
      <c r="G260" s="11"/>
      <c r="H260" s="11"/>
      <c r="I260" s="11"/>
      <c r="J260" s="10" t="str">
        <f aca="false">IF(C260="","",N(H260)+N(I260))</f>
        <v/>
      </c>
      <c r="K260" s="10" t="str">
        <f aca="false">IF(C260="","",MIN(J260,پارامترها!$B$3))</f>
        <v/>
      </c>
      <c r="L260" s="10" t="str">
        <f aca="false">IF(C260="","",MAX(0,J260-پارامترها!$B$3))</f>
        <v/>
      </c>
      <c r="M260" s="11"/>
      <c r="N260" s="11"/>
      <c r="O260" s="11"/>
      <c r="P260" s="11"/>
      <c r="Q260" s="11"/>
      <c r="R260" s="12" t="str">
        <f aca="false">IF(OR(C260="",N(J260)=0),"",K260*2*(N(H260)*پارامترها!$B$4+N(I260)*پارامترها!$B$5)/J260)</f>
        <v/>
      </c>
      <c r="S260" s="12" t="str">
        <f aca="false">IF(C260="","",N(M260)*پارامترها!$B$6+N(N260)*پارامترها!$B$7+N(O260)*پارامترها!$B$8)</f>
        <v/>
      </c>
      <c r="T260" s="12" t="str">
        <f aca="false">IF(C260="","",N(R260)+N(S260))</f>
        <v/>
      </c>
      <c r="U260" s="10" t="str">
        <f aca="false">IF(C260="","",IF(P260&lt;&gt;"بله","ثبت نشده در HIS",IF(N(L260)&gt;0,"ثبت‌شده؛ مازاد بر سقف","ثبت‌شده")))</f>
        <v/>
      </c>
      <c r="V260" s="11"/>
    </row>
    <row r="261" customFormat="false" ht="15" hidden="false" customHeight="false" outlineLevel="0" collapsed="false">
      <c r="A261" s="10" t="str">
        <f aca="false">IF(C261="","",ROW()-3)</f>
        <v/>
      </c>
      <c r="B261" s="11"/>
      <c r="C261" s="11"/>
      <c r="D261" s="11"/>
      <c r="E261" s="11"/>
      <c r="F261" s="11"/>
      <c r="G261" s="11"/>
      <c r="H261" s="11"/>
      <c r="I261" s="11"/>
      <c r="J261" s="10" t="str">
        <f aca="false">IF(C261="","",N(H261)+N(I261))</f>
        <v/>
      </c>
      <c r="K261" s="10" t="str">
        <f aca="false">IF(C261="","",MIN(J261,پارامترها!$B$3))</f>
        <v/>
      </c>
      <c r="L261" s="10" t="str">
        <f aca="false">IF(C261="","",MAX(0,J261-پارامترها!$B$3))</f>
        <v/>
      </c>
      <c r="M261" s="11"/>
      <c r="N261" s="11"/>
      <c r="O261" s="11"/>
      <c r="P261" s="11"/>
      <c r="Q261" s="11"/>
      <c r="R261" s="12" t="str">
        <f aca="false">IF(OR(C261="",N(J261)=0),"",K261*2*(N(H261)*پارامترها!$B$4+N(I261)*پارامترها!$B$5)/J261)</f>
        <v/>
      </c>
      <c r="S261" s="12" t="str">
        <f aca="false">IF(C261="","",N(M261)*پارامترها!$B$6+N(N261)*پارامترها!$B$7+N(O261)*پارامترها!$B$8)</f>
        <v/>
      </c>
      <c r="T261" s="12" t="str">
        <f aca="false">IF(C261="","",N(R261)+N(S261))</f>
        <v/>
      </c>
      <c r="U261" s="10" t="str">
        <f aca="false">IF(C261="","",IF(P261&lt;&gt;"بله","ثبت نشده در HIS",IF(N(L261)&gt;0,"ثبت‌شده؛ مازاد بر سقف","ثبت‌شده")))</f>
        <v/>
      </c>
      <c r="V261" s="11"/>
    </row>
    <row r="262" customFormat="false" ht="15" hidden="false" customHeight="false" outlineLevel="0" collapsed="false">
      <c r="A262" s="10" t="str">
        <f aca="false">IF(C262="","",ROW()-3)</f>
        <v/>
      </c>
      <c r="B262" s="11"/>
      <c r="C262" s="11"/>
      <c r="D262" s="11"/>
      <c r="E262" s="11"/>
      <c r="F262" s="11"/>
      <c r="G262" s="11"/>
      <c r="H262" s="11"/>
      <c r="I262" s="11"/>
      <c r="J262" s="10" t="str">
        <f aca="false">IF(C262="","",N(H262)+N(I262))</f>
        <v/>
      </c>
      <c r="K262" s="10" t="str">
        <f aca="false">IF(C262="","",MIN(J262,پارامترها!$B$3))</f>
        <v/>
      </c>
      <c r="L262" s="10" t="str">
        <f aca="false">IF(C262="","",MAX(0,J262-پارامترها!$B$3))</f>
        <v/>
      </c>
      <c r="M262" s="11"/>
      <c r="N262" s="11"/>
      <c r="O262" s="11"/>
      <c r="P262" s="11"/>
      <c r="Q262" s="11"/>
      <c r="R262" s="12" t="str">
        <f aca="false">IF(OR(C262="",N(J262)=0),"",K262*2*(N(H262)*پارامترها!$B$4+N(I262)*پارامترها!$B$5)/J262)</f>
        <v/>
      </c>
      <c r="S262" s="12" t="str">
        <f aca="false">IF(C262="","",N(M262)*پارامترها!$B$6+N(N262)*پارامترها!$B$7+N(O262)*پارامترها!$B$8)</f>
        <v/>
      </c>
      <c r="T262" s="12" t="str">
        <f aca="false">IF(C262="","",N(R262)+N(S262))</f>
        <v/>
      </c>
      <c r="U262" s="10" t="str">
        <f aca="false">IF(C262="","",IF(P262&lt;&gt;"بله","ثبت نشده در HIS",IF(N(L262)&gt;0,"ثبت‌شده؛ مازاد بر سقف","ثبت‌شده")))</f>
        <v/>
      </c>
      <c r="V262" s="11"/>
    </row>
    <row r="263" customFormat="false" ht="15" hidden="false" customHeight="false" outlineLevel="0" collapsed="false">
      <c r="A263" s="10" t="str">
        <f aca="false">IF(C263="","",ROW()-3)</f>
        <v/>
      </c>
      <c r="B263" s="11"/>
      <c r="C263" s="11"/>
      <c r="D263" s="11"/>
      <c r="E263" s="11"/>
      <c r="F263" s="11"/>
      <c r="G263" s="11"/>
      <c r="H263" s="11"/>
      <c r="I263" s="11"/>
      <c r="J263" s="10" t="str">
        <f aca="false">IF(C263="","",N(H263)+N(I263))</f>
        <v/>
      </c>
      <c r="K263" s="10" t="str">
        <f aca="false">IF(C263="","",MIN(J263,پارامترها!$B$3))</f>
        <v/>
      </c>
      <c r="L263" s="10" t="str">
        <f aca="false">IF(C263="","",MAX(0,J263-پارامترها!$B$3))</f>
        <v/>
      </c>
      <c r="M263" s="11"/>
      <c r="N263" s="11"/>
      <c r="O263" s="11"/>
      <c r="P263" s="11"/>
      <c r="Q263" s="11"/>
      <c r="R263" s="12" t="str">
        <f aca="false">IF(OR(C263="",N(J263)=0),"",K263*2*(N(H263)*پارامترها!$B$4+N(I263)*پارامترها!$B$5)/J263)</f>
        <v/>
      </c>
      <c r="S263" s="12" t="str">
        <f aca="false">IF(C263="","",N(M263)*پارامترها!$B$6+N(N263)*پارامترها!$B$7+N(O263)*پارامترها!$B$8)</f>
        <v/>
      </c>
      <c r="T263" s="12" t="str">
        <f aca="false">IF(C263="","",N(R263)+N(S263))</f>
        <v/>
      </c>
      <c r="U263" s="10" t="str">
        <f aca="false">IF(C263="","",IF(P263&lt;&gt;"بله","ثبت نشده در HIS",IF(N(L263)&gt;0,"ثبت‌شده؛ مازاد بر سقف","ثبت‌شده")))</f>
        <v/>
      </c>
      <c r="V263" s="11"/>
    </row>
    <row r="264" customFormat="false" ht="15" hidden="false" customHeight="false" outlineLevel="0" collapsed="false">
      <c r="A264" s="10" t="str">
        <f aca="false">IF(C264="","",ROW()-3)</f>
        <v/>
      </c>
      <c r="B264" s="11"/>
      <c r="C264" s="11"/>
      <c r="D264" s="11"/>
      <c r="E264" s="11"/>
      <c r="F264" s="11"/>
      <c r="G264" s="11"/>
      <c r="H264" s="11"/>
      <c r="I264" s="11"/>
      <c r="J264" s="10" t="str">
        <f aca="false">IF(C264="","",N(H264)+N(I264))</f>
        <v/>
      </c>
      <c r="K264" s="10" t="str">
        <f aca="false">IF(C264="","",MIN(J264,پارامترها!$B$3))</f>
        <v/>
      </c>
      <c r="L264" s="10" t="str">
        <f aca="false">IF(C264="","",MAX(0,J264-پارامترها!$B$3))</f>
        <v/>
      </c>
      <c r="M264" s="11"/>
      <c r="N264" s="11"/>
      <c r="O264" s="11"/>
      <c r="P264" s="11"/>
      <c r="Q264" s="11"/>
      <c r="R264" s="12" t="str">
        <f aca="false">IF(OR(C264="",N(J264)=0),"",K264*2*(N(H264)*پارامترها!$B$4+N(I264)*پارامترها!$B$5)/J264)</f>
        <v/>
      </c>
      <c r="S264" s="12" t="str">
        <f aca="false">IF(C264="","",N(M264)*پارامترها!$B$6+N(N264)*پارامترها!$B$7+N(O264)*پارامترها!$B$8)</f>
        <v/>
      </c>
      <c r="T264" s="12" t="str">
        <f aca="false">IF(C264="","",N(R264)+N(S264))</f>
        <v/>
      </c>
      <c r="U264" s="10" t="str">
        <f aca="false">IF(C264="","",IF(P264&lt;&gt;"بله","ثبت نشده در HIS",IF(N(L264)&gt;0,"ثبت‌شده؛ مازاد بر سقف","ثبت‌شده")))</f>
        <v/>
      </c>
      <c r="V264" s="11"/>
    </row>
    <row r="265" customFormat="false" ht="15" hidden="false" customHeight="false" outlineLevel="0" collapsed="false">
      <c r="A265" s="10" t="str">
        <f aca="false">IF(C265="","",ROW()-3)</f>
        <v/>
      </c>
      <c r="B265" s="11"/>
      <c r="C265" s="11"/>
      <c r="D265" s="11"/>
      <c r="E265" s="11"/>
      <c r="F265" s="11"/>
      <c r="G265" s="11"/>
      <c r="H265" s="11"/>
      <c r="I265" s="11"/>
      <c r="J265" s="10" t="str">
        <f aca="false">IF(C265="","",N(H265)+N(I265))</f>
        <v/>
      </c>
      <c r="K265" s="10" t="str">
        <f aca="false">IF(C265="","",MIN(J265,پارامترها!$B$3))</f>
        <v/>
      </c>
      <c r="L265" s="10" t="str">
        <f aca="false">IF(C265="","",MAX(0,J265-پارامترها!$B$3))</f>
        <v/>
      </c>
      <c r="M265" s="11"/>
      <c r="N265" s="11"/>
      <c r="O265" s="11"/>
      <c r="P265" s="11"/>
      <c r="Q265" s="11"/>
      <c r="R265" s="12" t="str">
        <f aca="false">IF(OR(C265="",N(J265)=0),"",K265*2*(N(H265)*پارامترها!$B$4+N(I265)*پارامترها!$B$5)/J265)</f>
        <v/>
      </c>
      <c r="S265" s="12" t="str">
        <f aca="false">IF(C265="","",N(M265)*پارامترها!$B$6+N(N265)*پارامترها!$B$7+N(O265)*پارامترها!$B$8)</f>
        <v/>
      </c>
      <c r="T265" s="12" t="str">
        <f aca="false">IF(C265="","",N(R265)+N(S265))</f>
        <v/>
      </c>
      <c r="U265" s="10" t="str">
        <f aca="false">IF(C265="","",IF(P265&lt;&gt;"بله","ثبت نشده در HIS",IF(N(L265)&gt;0,"ثبت‌شده؛ مازاد بر سقف","ثبت‌شده")))</f>
        <v/>
      </c>
      <c r="V265" s="11"/>
    </row>
    <row r="266" customFormat="false" ht="15" hidden="false" customHeight="false" outlineLevel="0" collapsed="false">
      <c r="A266" s="10" t="str">
        <f aca="false">IF(C266="","",ROW()-3)</f>
        <v/>
      </c>
      <c r="B266" s="11"/>
      <c r="C266" s="11"/>
      <c r="D266" s="11"/>
      <c r="E266" s="11"/>
      <c r="F266" s="11"/>
      <c r="G266" s="11"/>
      <c r="H266" s="11"/>
      <c r="I266" s="11"/>
      <c r="J266" s="10" t="str">
        <f aca="false">IF(C266="","",N(H266)+N(I266))</f>
        <v/>
      </c>
      <c r="K266" s="10" t="str">
        <f aca="false">IF(C266="","",MIN(J266,پارامترها!$B$3))</f>
        <v/>
      </c>
      <c r="L266" s="10" t="str">
        <f aca="false">IF(C266="","",MAX(0,J266-پارامترها!$B$3))</f>
        <v/>
      </c>
      <c r="M266" s="11"/>
      <c r="N266" s="11"/>
      <c r="O266" s="11"/>
      <c r="P266" s="11"/>
      <c r="Q266" s="11"/>
      <c r="R266" s="12" t="str">
        <f aca="false">IF(OR(C266="",N(J266)=0),"",K266*2*(N(H266)*پارامترها!$B$4+N(I266)*پارامترها!$B$5)/J266)</f>
        <v/>
      </c>
      <c r="S266" s="12" t="str">
        <f aca="false">IF(C266="","",N(M266)*پارامترها!$B$6+N(N266)*پارامترها!$B$7+N(O266)*پارامترها!$B$8)</f>
        <v/>
      </c>
      <c r="T266" s="12" t="str">
        <f aca="false">IF(C266="","",N(R266)+N(S266))</f>
        <v/>
      </c>
      <c r="U266" s="10" t="str">
        <f aca="false">IF(C266="","",IF(P266&lt;&gt;"بله","ثبت نشده در HIS",IF(N(L266)&gt;0,"ثبت‌شده؛ مازاد بر سقف","ثبت‌شده")))</f>
        <v/>
      </c>
      <c r="V266" s="11"/>
    </row>
    <row r="267" customFormat="false" ht="15" hidden="false" customHeight="false" outlineLevel="0" collapsed="false">
      <c r="A267" s="10" t="str">
        <f aca="false">IF(C267="","",ROW()-3)</f>
        <v/>
      </c>
      <c r="B267" s="11"/>
      <c r="C267" s="11"/>
      <c r="D267" s="11"/>
      <c r="E267" s="11"/>
      <c r="F267" s="11"/>
      <c r="G267" s="11"/>
      <c r="H267" s="11"/>
      <c r="I267" s="11"/>
      <c r="J267" s="10" t="str">
        <f aca="false">IF(C267="","",N(H267)+N(I267))</f>
        <v/>
      </c>
      <c r="K267" s="10" t="str">
        <f aca="false">IF(C267="","",MIN(J267,پارامترها!$B$3))</f>
        <v/>
      </c>
      <c r="L267" s="10" t="str">
        <f aca="false">IF(C267="","",MAX(0,J267-پارامترها!$B$3))</f>
        <v/>
      </c>
      <c r="M267" s="11"/>
      <c r="N267" s="11"/>
      <c r="O267" s="11"/>
      <c r="P267" s="11"/>
      <c r="Q267" s="11"/>
      <c r="R267" s="12" t="str">
        <f aca="false">IF(OR(C267="",N(J267)=0),"",K267*2*(N(H267)*پارامترها!$B$4+N(I267)*پارامترها!$B$5)/J267)</f>
        <v/>
      </c>
      <c r="S267" s="12" t="str">
        <f aca="false">IF(C267="","",N(M267)*پارامترها!$B$6+N(N267)*پارامترها!$B$7+N(O267)*پارامترها!$B$8)</f>
        <v/>
      </c>
      <c r="T267" s="12" t="str">
        <f aca="false">IF(C267="","",N(R267)+N(S267))</f>
        <v/>
      </c>
      <c r="U267" s="10" t="str">
        <f aca="false">IF(C267="","",IF(P267&lt;&gt;"بله","ثبت نشده در HIS",IF(N(L267)&gt;0,"ثبت‌شده؛ مازاد بر سقف","ثبت‌شده")))</f>
        <v/>
      </c>
      <c r="V267" s="11"/>
    </row>
    <row r="268" customFormat="false" ht="15" hidden="false" customHeight="false" outlineLevel="0" collapsed="false">
      <c r="A268" s="10" t="str">
        <f aca="false">IF(C268="","",ROW()-3)</f>
        <v/>
      </c>
      <c r="B268" s="11"/>
      <c r="C268" s="11"/>
      <c r="D268" s="11"/>
      <c r="E268" s="11"/>
      <c r="F268" s="11"/>
      <c r="G268" s="11"/>
      <c r="H268" s="11"/>
      <c r="I268" s="11"/>
      <c r="J268" s="10" t="str">
        <f aca="false">IF(C268="","",N(H268)+N(I268))</f>
        <v/>
      </c>
      <c r="K268" s="10" t="str">
        <f aca="false">IF(C268="","",MIN(J268,پارامترها!$B$3))</f>
        <v/>
      </c>
      <c r="L268" s="10" t="str">
        <f aca="false">IF(C268="","",MAX(0,J268-پارامترها!$B$3))</f>
        <v/>
      </c>
      <c r="M268" s="11"/>
      <c r="N268" s="11"/>
      <c r="O268" s="11"/>
      <c r="P268" s="11"/>
      <c r="Q268" s="11"/>
      <c r="R268" s="12" t="str">
        <f aca="false">IF(OR(C268="",N(J268)=0),"",K268*2*(N(H268)*پارامترها!$B$4+N(I268)*پارامترها!$B$5)/J268)</f>
        <v/>
      </c>
      <c r="S268" s="12" t="str">
        <f aca="false">IF(C268="","",N(M268)*پارامترها!$B$6+N(N268)*پارامترها!$B$7+N(O268)*پارامترها!$B$8)</f>
        <v/>
      </c>
      <c r="T268" s="12" t="str">
        <f aca="false">IF(C268="","",N(R268)+N(S268))</f>
        <v/>
      </c>
      <c r="U268" s="10" t="str">
        <f aca="false">IF(C268="","",IF(P268&lt;&gt;"بله","ثبت نشده در HIS",IF(N(L268)&gt;0,"ثبت‌شده؛ مازاد بر سقف","ثبت‌شده")))</f>
        <v/>
      </c>
      <c r="V268" s="11"/>
    </row>
    <row r="269" customFormat="false" ht="15" hidden="false" customHeight="false" outlineLevel="0" collapsed="false">
      <c r="A269" s="10" t="str">
        <f aca="false">IF(C269="","",ROW()-3)</f>
        <v/>
      </c>
      <c r="B269" s="11"/>
      <c r="C269" s="11"/>
      <c r="D269" s="11"/>
      <c r="E269" s="11"/>
      <c r="F269" s="11"/>
      <c r="G269" s="11"/>
      <c r="H269" s="11"/>
      <c r="I269" s="11"/>
      <c r="J269" s="10" t="str">
        <f aca="false">IF(C269="","",N(H269)+N(I269))</f>
        <v/>
      </c>
      <c r="K269" s="10" t="str">
        <f aca="false">IF(C269="","",MIN(J269,پارامترها!$B$3))</f>
        <v/>
      </c>
      <c r="L269" s="10" t="str">
        <f aca="false">IF(C269="","",MAX(0,J269-پارامترها!$B$3))</f>
        <v/>
      </c>
      <c r="M269" s="11"/>
      <c r="N269" s="11"/>
      <c r="O269" s="11"/>
      <c r="P269" s="11"/>
      <c r="Q269" s="11"/>
      <c r="R269" s="12" t="str">
        <f aca="false">IF(OR(C269="",N(J269)=0),"",K269*2*(N(H269)*پارامترها!$B$4+N(I269)*پارامترها!$B$5)/J269)</f>
        <v/>
      </c>
      <c r="S269" s="12" t="str">
        <f aca="false">IF(C269="","",N(M269)*پارامترها!$B$6+N(N269)*پارامترها!$B$7+N(O269)*پارامترها!$B$8)</f>
        <v/>
      </c>
      <c r="T269" s="12" t="str">
        <f aca="false">IF(C269="","",N(R269)+N(S269))</f>
        <v/>
      </c>
      <c r="U269" s="10" t="str">
        <f aca="false">IF(C269="","",IF(P269&lt;&gt;"بله","ثبت نشده در HIS",IF(N(L269)&gt;0,"ثبت‌شده؛ مازاد بر سقف","ثبت‌شده")))</f>
        <v/>
      </c>
      <c r="V269" s="11"/>
    </row>
    <row r="270" customFormat="false" ht="15" hidden="false" customHeight="false" outlineLevel="0" collapsed="false">
      <c r="A270" s="10" t="str">
        <f aca="false">IF(C270="","",ROW()-3)</f>
        <v/>
      </c>
      <c r="B270" s="11"/>
      <c r="C270" s="11"/>
      <c r="D270" s="11"/>
      <c r="E270" s="11"/>
      <c r="F270" s="11"/>
      <c r="G270" s="11"/>
      <c r="H270" s="11"/>
      <c r="I270" s="11"/>
      <c r="J270" s="10" t="str">
        <f aca="false">IF(C270="","",N(H270)+N(I270))</f>
        <v/>
      </c>
      <c r="K270" s="10" t="str">
        <f aca="false">IF(C270="","",MIN(J270,پارامترها!$B$3))</f>
        <v/>
      </c>
      <c r="L270" s="10" t="str">
        <f aca="false">IF(C270="","",MAX(0,J270-پارامترها!$B$3))</f>
        <v/>
      </c>
      <c r="M270" s="11"/>
      <c r="N270" s="11"/>
      <c r="O270" s="11"/>
      <c r="P270" s="11"/>
      <c r="Q270" s="11"/>
      <c r="R270" s="12" t="str">
        <f aca="false">IF(OR(C270="",N(J270)=0),"",K270*2*(N(H270)*پارامترها!$B$4+N(I270)*پارامترها!$B$5)/J270)</f>
        <v/>
      </c>
      <c r="S270" s="12" t="str">
        <f aca="false">IF(C270="","",N(M270)*پارامترها!$B$6+N(N270)*پارامترها!$B$7+N(O270)*پارامترها!$B$8)</f>
        <v/>
      </c>
      <c r="T270" s="12" t="str">
        <f aca="false">IF(C270="","",N(R270)+N(S270))</f>
        <v/>
      </c>
      <c r="U270" s="10" t="str">
        <f aca="false">IF(C270="","",IF(P270&lt;&gt;"بله","ثبت نشده در HIS",IF(N(L270)&gt;0,"ثبت‌شده؛ مازاد بر سقف","ثبت‌شده")))</f>
        <v/>
      </c>
      <c r="V270" s="11"/>
    </row>
    <row r="271" customFormat="false" ht="15" hidden="false" customHeight="false" outlineLevel="0" collapsed="false">
      <c r="A271" s="10" t="str">
        <f aca="false">IF(C271="","",ROW()-3)</f>
        <v/>
      </c>
      <c r="B271" s="11"/>
      <c r="C271" s="11"/>
      <c r="D271" s="11"/>
      <c r="E271" s="11"/>
      <c r="F271" s="11"/>
      <c r="G271" s="11"/>
      <c r="H271" s="11"/>
      <c r="I271" s="11"/>
      <c r="J271" s="10" t="str">
        <f aca="false">IF(C271="","",N(H271)+N(I271))</f>
        <v/>
      </c>
      <c r="K271" s="10" t="str">
        <f aca="false">IF(C271="","",MIN(J271,پارامترها!$B$3))</f>
        <v/>
      </c>
      <c r="L271" s="10" t="str">
        <f aca="false">IF(C271="","",MAX(0,J271-پارامترها!$B$3))</f>
        <v/>
      </c>
      <c r="M271" s="11"/>
      <c r="N271" s="11"/>
      <c r="O271" s="11"/>
      <c r="P271" s="11"/>
      <c r="Q271" s="11"/>
      <c r="R271" s="12" t="str">
        <f aca="false">IF(OR(C271="",N(J271)=0),"",K271*2*(N(H271)*پارامترها!$B$4+N(I271)*پارامترها!$B$5)/J271)</f>
        <v/>
      </c>
      <c r="S271" s="12" t="str">
        <f aca="false">IF(C271="","",N(M271)*پارامترها!$B$6+N(N271)*پارامترها!$B$7+N(O271)*پارامترها!$B$8)</f>
        <v/>
      </c>
      <c r="T271" s="12" t="str">
        <f aca="false">IF(C271="","",N(R271)+N(S271))</f>
        <v/>
      </c>
      <c r="U271" s="10" t="str">
        <f aca="false">IF(C271="","",IF(P271&lt;&gt;"بله","ثبت نشده در HIS",IF(N(L271)&gt;0,"ثبت‌شده؛ مازاد بر سقف","ثبت‌شده")))</f>
        <v/>
      </c>
      <c r="V271" s="11"/>
    </row>
    <row r="272" customFormat="false" ht="15" hidden="false" customHeight="false" outlineLevel="0" collapsed="false">
      <c r="A272" s="10" t="str">
        <f aca="false">IF(C272="","",ROW()-3)</f>
        <v/>
      </c>
      <c r="B272" s="11"/>
      <c r="C272" s="11"/>
      <c r="D272" s="11"/>
      <c r="E272" s="11"/>
      <c r="F272" s="11"/>
      <c r="G272" s="11"/>
      <c r="H272" s="11"/>
      <c r="I272" s="11"/>
      <c r="J272" s="10" t="str">
        <f aca="false">IF(C272="","",N(H272)+N(I272))</f>
        <v/>
      </c>
      <c r="K272" s="10" t="str">
        <f aca="false">IF(C272="","",MIN(J272,پارامترها!$B$3))</f>
        <v/>
      </c>
      <c r="L272" s="10" t="str">
        <f aca="false">IF(C272="","",MAX(0,J272-پارامترها!$B$3))</f>
        <v/>
      </c>
      <c r="M272" s="11"/>
      <c r="N272" s="11"/>
      <c r="O272" s="11"/>
      <c r="P272" s="11"/>
      <c r="Q272" s="11"/>
      <c r="R272" s="12" t="str">
        <f aca="false">IF(OR(C272="",N(J272)=0),"",K272*2*(N(H272)*پارامترها!$B$4+N(I272)*پارامترها!$B$5)/J272)</f>
        <v/>
      </c>
      <c r="S272" s="12" t="str">
        <f aca="false">IF(C272="","",N(M272)*پارامترها!$B$6+N(N272)*پارامترها!$B$7+N(O272)*پارامترها!$B$8)</f>
        <v/>
      </c>
      <c r="T272" s="12" t="str">
        <f aca="false">IF(C272="","",N(R272)+N(S272))</f>
        <v/>
      </c>
      <c r="U272" s="10" t="str">
        <f aca="false">IF(C272="","",IF(P272&lt;&gt;"بله","ثبت نشده در HIS",IF(N(L272)&gt;0,"ثبت‌شده؛ مازاد بر سقف","ثبت‌شده")))</f>
        <v/>
      </c>
      <c r="V272" s="11"/>
    </row>
    <row r="273" customFormat="false" ht="15" hidden="false" customHeight="false" outlineLevel="0" collapsed="false">
      <c r="A273" s="10" t="str">
        <f aca="false">IF(C273="","",ROW()-3)</f>
        <v/>
      </c>
      <c r="B273" s="11"/>
      <c r="C273" s="11"/>
      <c r="D273" s="11"/>
      <c r="E273" s="11"/>
      <c r="F273" s="11"/>
      <c r="G273" s="11"/>
      <c r="H273" s="11"/>
      <c r="I273" s="11"/>
      <c r="J273" s="10" t="str">
        <f aca="false">IF(C273="","",N(H273)+N(I273))</f>
        <v/>
      </c>
      <c r="K273" s="10" t="str">
        <f aca="false">IF(C273="","",MIN(J273,پارامترها!$B$3))</f>
        <v/>
      </c>
      <c r="L273" s="10" t="str">
        <f aca="false">IF(C273="","",MAX(0,J273-پارامترها!$B$3))</f>
        <v/>
      </c>
      <c r="M273" s="11"/>
      <c r="N273" s="11"/>
      <c r="O273" s="11"/>
      <c r="P273" s="11"/>
      <c r="Q273" s="11"/>
      <c r="R273" s="12" t="str">
        <f aca="false">IF(OR(C273="",N(J273)=0),"",K273*2*(N(H273)*پارامترها!$B$4+N(I273)*پارامترها!$B$5)/J273)</f>
        <v/>
      </c>
      <c r="S273" s="12" t="str">
        <f aca="false">IF(C273="","",N(M273)*پارامترها!$B$6+N(N273)*پارامترها!$B$7+N(O273)*پارامترها!$B$8)</f>
        <v/>
      </c>
      <c r="T273" s="12" t="str">
        <f aca="false">IF(C273="","",N(R273)+N(S273))</f>
        <v/>
      </c>
      <c r="U273" s="10" t="str">
        <f aca="false">IF(C273="","",IF(P273&lt;&gt;"بله","ثبت نشده در HIS",IF(N(L273)&gt;0,"ثبت‌شده؛ مازاد بر سقف","ثبت‌شده")))</f>
        <v/>
      </c>
      <c r="V273" s="11"/>
    </row>
    <row r="274" customFormat="false" ht="15" hidden="false" customHeight="false" outlineLevel="0" collapsed="false">
      <c r="A274" s="10" t="str">
        <f aca="false">IF(C274="","",ROW()-3)</f>
        <v/>
      </c>
      <c r="B274" s="11"/>
      <c r="C274" s="11"/>
      <c r="D274" s="11"/>
      <c r="E274" s="11"/>
      <c r="F274" s="11"/>
      <c r="G274" s="11"/>
      <c r="H274" s="11"/>
      <c r="I274" s="11"/>
      <c r="J274" s="10" t="str">
        <f aca="false">IF(C274="","",N(H274)+N(I274))</f>
        <v/>
      </c>
      <c r="K274" s="10" t="str">
        <f aca="false">IF(C274="","",MIN(J274,پارامترها!$B$3))</f>
        <v/>
      </c>
      <c r="L274" s="10" t="str">
        <f aca="false">IF(C274="","",MAX(0,J274-پارامترها!$B$3))</f>
        <v/>
      </c>
      <c r="M274" s="11"/>
      <c r="N274" s="11"/>
      <c r="O274" s="11"/>
      <c r="P274" s="11"/>
      <c r="Q274" s="11"/>
      <c r="R274" s="12" t="str">
        <f aca="false">IF(OR(C274="",N(J274)=0),"",K274*2*(N(H274)*پارامترها!$B$4+N(I274)*پارامترها!$B$5)/J274)</f>
        <v/>
      </c>
      <c r="S274" s="12" t="str">
        <f aca="false">IF(C274="","",N(M274)*پارامترها!$B$6+N(N274)*پارامترها!$B$7+N(O274)*پارامترها!$B$8)</f>
        <v/>
      </c>
      <c r="T274" s="12" t="str">
        <f aca="false">IF(C274="","",N(R274)+N(S274))</f>
        <v/>
      </c>
      <c r="U274" s="10" t="str">
        <f aca="false">IF(C274="","",IF(P274&lt;&gt;"بله","ثبت نشده در HIS",IF(N(L274)&gt;0,"ثبت‌شده؛ مازاد بر سقف","ثبت‌شده")))</f>
        <v/>
      </c>
      <c r="V274" s="11"/>
    </row>
    <row r="275" customFormat="false" ht="15" hidden="false" customHeight="false" outlineLevel="0" collapsed="false">
      <c r="A275" s="10" t="str">
        <f aca="false">IF(C275="","",ROW()-3)</f>
        <v/>
      </c>
      <c r="B275" s="11"/>
      <c r="C275" s="11"/>
      <c r="D275" s="11"/>
      <c r="E275" s="11"/>
      <c r="F275" s="11"/>
      <c r="G275" s="11"/>
      <c r="H275" s="11"/>
      <c r="I275" s="11"/>
      <c r="J275" s="10" t="str">
        <f aca="false">IF(C275="","",N(H275)+N(I275))</f>
        <v/>
      </c>
      <c r="K275" s="10" t="str">
        <f aca="false">IF(C275="","",MIN(J275,پارامترها!$B$3))</f>
        <v/>
      </c>
      <c r="L275" s="10" t="str">
        <f aca="false">IF(C275="","",MAX(0,J275-پارامترها!$B$3))</f>
        <v/>
      </c>
      <c r="M275" s="11"/>
      <c r="N275" s="11"/>
      <c r="O275" s="11"/>
      <c r="P275" s="11"/>
      <c r="Q275" s="11"/>
      <c r="R275" s="12" t="str">
        <f aca="false">IF(OR(C275="",N(J275)=0),"",K275*2*(N(H275)*پارامترها!$B$4+N(I275)*پارامترها!$B$5)/J275)</f>
        <v/>
      </c>
      <c r="S275" s="12" t="str">
        <f aca="false">IF(C275="","",N(M275)*پارامترها!$B$6+N(N275)*پارامترها!$B$7+N(O275)*پارامترها!$B$8)</f>
        <v/>
      </c>
      <c r="T275" s="12" t="str">
        <f aca="false">IF(C275="","",N(R275)+N(S275))</f>
        <v/>
      </c>
      <c r="U275" s="10" t="str">
        <f aca="false">IF(C275="","",IF(P275&lt;&gt;"بله","ثبت نشده در HIS",IF(N(L275)&gt;0,"ثبت‌شده؛ مازاد بر سقف","ثبت‌شده")))</f>
        <v/>
      </c>
      <c r="V275" s="11"/>
    </row>
    <row r="276" customFormat="false" ht="15" hidden="false" customHeight="false" outlineLevel="0" collapsed="false">
      <c r="A276" s="10" t="str">
        <f aca="false">IF(C276="","",ROW()-3)</f>
        <v/>
      </c>
      <c r="B276" s="11"/>
      <c r="C276" s="11"/>
      <c r="D276" s="11"/>
      <c r="E276" s="11"/>
      <c r="F276" s="11"/>
      <c r="G276" s="11"/>
      <c r="H276" s="11"/>
      <c r="I276" s="11"/>
      <c r="J276" s="10" t="str">
        <f aca="false">IF(C276="","",N(H276)+N(I276))</f>
        <v/>
      </c>
      <c r="K276" s="10" t="str">
        <f aca="false">IF(C276="","",MIN(J276,پارامترها!$B$3))</f>
        <v/>
      </c>
      <c r="L276" s="10" t="str">
        <f aca="false">IF(C276="","",MAX(0,J276-پارامترها!$B$3))</f>
        <v/>
      </c>
      <c r="M276" s="11"/>
      <c r="N276" s="11"/>
      <c r="O276" s="11"/>
      <c r="P276" s="11"/>
      <c r="Q276" s="11"/>
      <c r="R276" s="12" t="str">
        <f aca="false">IF(OR(C276="",N(J276)=0),"",K276*2*(N(H276)*پارامترها!$B$4+N(I276)*پارامترها!$B$5)/J276)</f>
        <v/>
      </c>
      <c r="S276" s="12" t="str">
        <f aca="false">IF(C276="","",N(M276)*پارامترها!$B$6+N(N276)*پارامترها!$B$7+N(O276)*پارامترها!$B$8)</f>
        <v/>
      </c>
      <c r="T276" s="12" t="str">
        <f aca="false">IF(C276="","",N(R276)+N(S276))</f>
        <v/>
      </c>
      <c r="U276" s="10" t="str">
        <f aca="false">IF(C276="","",IF(P276&lt;&gt;"بله","ثبت نشده در HIS",IF(N(L276)&gt;0,"ثبت‌شده؛ مازاد بر سقف","ثبت‌شده")))</f>
        <v/>
      </c>
      <c r="V276" s="11"/>
    </row>
    <row r="277" customFormat="false" ht="15" hidden="false" customHeight="false" outlineLevel="0" collapsed="false">
      <c r="A277" s="10" t="str">
        <f aca="false">IF(C277="","",ROW()-3)</f>
        <v/>
      </c>
      <c r="B277" s="11"/>
      <c r="C277" s="11"/>
      <c r="D277" s="11"/>
      <c r="E277" s="11"/>
      <c r="F277" s="11"/>
      <c r="G277" s="11"/>
      <c r="H277" s="11"/>
      <c r="I277" s="11"/>
      <c r="J277" s="10" t="str">
        <f aca="false">IF(C277="","",N(H277)+N(I277))</f>
        <v/>
      </c>
      <c r="K277" s="10" t="str">
        <f aca="false">IF(C277="","",MIN(J277,پارامترها!$B$3))</f>
        <v/>
      </c>
      <c r="L277" s="10" t="str">
        <f aca="false">IF(C277="","",MAX(0,J277-پارامترها!$B$3))</f>
        <v/>
      </c>
      <c r="M277" s="11"/>
      <c r="N277" s="11"/>
      <c r="O277" s="11"/>
      <c r="P277" s="11"/>
      <c r="Q277" s="11"/>
      <c r="R277" s="12" t="str">
        <f aca="false">IF(OR(C277="",N(J277)=0),"",K277*2*(N(H277)*پارامترها!$B$4+N(I277)*پارامترها!$B$5)/J277)</f>
        <v/>
      </c>
      <c r="S277" s="12" t="str">
        <f aca="false">IF(C277="","",N(M277)*پارامترها!$B$6+N(N277)*پارامترها!$B$7+N(O277)*پارامترها!$B$8)</f>
        <v/>
      </c>
      <c r="T277" s="12" t="str">
        <f aca="false">IF(C277="","",N(R277)+N(S277))</f>
        <v/>
      </c>
      <c r="U277" s="10" t="str">
        <f aca="false">IF(C277="","",IF(P277&lt;&gt;"بله","ثبت نشده در HIS",IF(N(L277)&gt;0,"ثبت‌شده؛ مازاد بر سقف","ثبت‌شده")))</f>
        <v/>
      </c>
      <c r="V277" s="11"/>
    </row>
    <row r="278" customFormat="false" ht="15" hidden="false" customHeight="false" outlineLevel="0" collapsed="false">
      <c r="A278" s="10" t="str">
        <f aca="false">IF(C278="","",ROW()-3)</f>
        <v/>
      </c>
      <c r="B278" s="11"/>
      <c r="C278" s="11"/>
      <c r="D278" s="11"/>
      <c r="E278" s="11"/>
      <c r="F278" s="11"/>
      <c r="G278" s="11"/>
      <c r="H278" s="11"/>
      <c r="I278" s="11"/>
      <c r="J278" s="10" t="str">
        <f aca="false">IF(C278="","",N(H278)+N(I278))</f>
        <v/>
      </c>
      <c r="K278" s="10" t="str">
        <f aca="false">IF(C278="","",MIN(J278,پارامترها!$B$3))</f>
        <v/>
      </c>
      <c r="L278" s="10" t="str">
        <f aca="false">IF(C278="","",MAX(0,J278-پارامترها!$B$3))</f>
        <v/>
      </c>
      <c r="M278" s="11"/>
      <c r="N278" s="11"/>
      <c r="O278" s="11"/>
      <c r="P278" s="11"/>
      <c r="Q278" s="11"/>
      <c r="R278" s="12" t="str">
        <f aca="false">IF(OR(C278="",N(J278)=0),"",K278*2*(N(H278)*پارامترها!$B$4+N(I278)*پارامترها!$B$5)/J278)</f>
        <v/>
      </c>
      <c r="S278" s="12" t="str">
        <f aca="false">IF(C278="","",N(M278)*پارامترها!$B$6+N(N278)*پارامترها!$B$7+N(O278)*پارامترها!$B$8)</f>
        <v/>
      </c>
      <c r="T278" s="12" t="str">
        <f aca="false">IF(C278="","",N(R278)+N(S278))</f>
        <v/>
      </c>
      <c r="U278" s="10" t="str">
        <f aca="false">IF(C278="","",IF(P278&lt;&gt;"بله","ثبت نشده در HIS",IF(N(L278)&gt;0,"ثبت‌شده؛ مازاد بر سقف","ثبت‌شده")))</f>
        <v/>
      </c>
      <c r="V278" s="11"/>
    </row>
    <row r="279" customFormat="false" ht="15" hidden="false" customHeight="false" outlineLevel="0" collapsed="false">
      <c r="A279" s="10" t="str">
        <f aca="false">IF(C279="","",ROW()-3)</f>
        <v/>
      </c>
      <c r="B279" s="11"/>
      <c r="C279" s="11"/>
      <c r="D279" s="11"/>
      <c r="E279" s="11"/>
      <c r="F279" s="11"/>
      <c r="G279" s="11"/>
      <c r="H279" s="11"/>
      <c r="I279" s="11"/>
      <c r="J279" s="10" t="str">
        <f aca="false">IF(C279="","",N(H279)+N(I279))</f>
        <v/>
      </c>
      <c r="K279" s="10" t="str">
        <f aca="false">IF(C279="","",MIN(J279,پارامترها!$B$3))</f>
        <v/>
      </c>
      <c r="L279" s="10" t="str">
        <f aca="false">IF(C279="","",MAX(0,J279-پارامترها!$B$3))</f>
        <v/>
      </c>
      <c r="M279" s="11"/>
      <c r="N279" s="11"/>
      <c r="O279" s="11"/>
      <c r="P279" s="11"/>
      <c r="Q279" s="11"/>
      <c r="R279" s="12" t="str">
        <f aca="false">IF(OR(C279="",N(J279)=0),"",K279*2*(N(H279)*پارامترها!$B$4+N(I279)*پارامترها!$B$5)/J279)</f>
        <v/>
      </c>
      <c r="S279" s="12" t="str">
        <f aca="false">IF(C279="","",N(M279)*پارامترها!$B$6+N(N279)*پارامترها!$B$7+N(O279)*پارامترها!$B$8)</f>
        <v/>
      </c>
      <c r="T279" s="12" t="str">
        <f aca="false">IF(C279="","",N(R279)+N(S279))</f>
        <v/>
      </c>
      <c r="U279" s="10" t="str">
        <f aca="false">IF(C279="","",IF(P279&lt;&gt;"بله","ثبت نشده در HIS",IF(N(L279)&gt;0,"ثبت‌شده؛ مازاد بر سقف","ثبت‌شده")))</f>
        <v/>
      </c>
      <c r="V279" s="11"/>
    </row>
    <row r="280" customFormat="false" ht="15" hidden="false" customHeight="false" outlineLevel="0" collapsed="false">
      <c r="A280" s="10" t="str">
        <f aca="false">IF(C280="","",ROW()-3)</f>
        <v/>
      </c>
      <c r="B280" s="11"/>
      <c r="C280" s="11"/>
      <c r="D280" s="11"/>
      <c r="E280" s="11"/>
      <c r="F280" s="11"/>
      <c r="G280" s="11"/>
      <c r="H280" s="11"/>
      <c r="I280" s="11"/>
      <c r="J280" s="10" t="str">
        <f aca="false">IF(C280="","",N(H280)+N(I280))</f>
        <v/>
      </c>
      <c r="K280" s="10" t="str">
        <f aca="false">IF(C280="","",MIN(J280,پارامترها!$B$3))</f>
        <v/>
      </c>
      <c r="L280" s="10" t="str">
        <f aca="false">IF(C280="","",MAX(0,J280-پارامترها!$B$3))</f>
        <v/>
      </c>
      <c r="M280" s="11"/>
      <c r="N280" s="11"/>
      <c r="O280" s="11"/>
      <c r="P280" s="11"/>
      <c r="Q280" s="11"/>
      <c r="R280" s="12" t="str">
        <f aca="false">IF(OR(C280="",N(J280)=0),"",K280*2*(N(H280)*پارامترها!$B$4+N(I280)*پارامترها!$B$5)/J280)</f>
        <v/>
      </c>
      <c r="S280" s="12" t="str">
        <f aca="false">IF(C280="","",N(M280)*پارامترها!$B$6+N(N280)*پارامترها!$B$7+N(O280)*پارامترها!$B$8)</f>
        <v/>
      </c>
      <c r="T280" s="12" t="str">
        <f aca="false">IF(C280="","",N(R280)+N(S280))</f>
        <v/>
      </c>
      <c r="U280" s="10" t="str">
        <f aca="false">IF(C280="","",IF(P280&lt;&gt;"بله","ثبت نشده در HIS",IF(N(L280)&gt;0,"ثبت‌شده؛ مازاد بر سقف","ثبت‌شده")))</f>
        <v/>
      </c>
      <c r="V280" s="11"/>
    </row>
    <row r="281" customFormat="false" ht="15" hidden="false" customHeight="false" outlineLevel="0" collapsed="false">
      <c r="A281" s="10" t="str">
        <f aca="false">IF(C281="","",ROW()-3)</f>
        <v/>
      </c>
      <c r="B281" s="11"/>
      <c r="C281" s="11"/>
      <c r="D281" s="11"/>
      <c r="E281" s="11"/>
      <c r="F281" s="11"/>
      <c r="G281" s="11"/>
      <c r="H281" s="11"/>
      <c r="I281" s="11"/>
      <c r="J281" s="10" t="str">
        <f aca="false">IF(C281="","",N(H281)+N(I281))</f>
        <v/>
      </c>
      <c r="K281" s="10" t="str">
        <f aca="false">IF(C281="","",MIN(J281,پارامترها!$B$3))</f>
        <v/>
      </c>
      <c r="L281" s="10" t="str">
        <f aca="false">IF(C281="","",MAX(0,J281-پارامترها!$B$3))</f>
        <v/>
      </c>
      <c r="M281" s="11"/>
      <c r="N281" s="11"/>
      <c r="O281" s="11"/>
      <c r="P281" s="11"/>
      <c r="Q281" s="11"/>
      <c r="R281" s="12" t="str">
        <f aca="false">IF(OR(C281="",N(J281)=0),"",K281*2*(N(H281)*پارامترها!$B$4+N(I281)*پارامترها!$B$5)/J281)</f>
        <v/>
      </c>
      <c r="S281" s="12" t="str">
        <f aca="false">IF(C281="","",N(M281)*پارامترها!$B$6+N(N281)*پارامترها!$B$7+N(O281)*پارامترها!$B$8)</f>
        <v/>
      </c>
      <c r="T281" s="12" t="str">
        <f aca="false">IF(C281="","",N(R281)+N(S281))</f>
        <v/>
      </c>
      <c r="U281" s="10" t="str">
        <f aca="false">IF(C281="","",IF(P281&lt;&gt;"بله","ثبت نشده در HIS",IF(N(L281)&gt;0,"ثبت‌شده؛ مازاد بر سقف","ثبت‌شده")))</f>
        <v/>
      </c>
      <c r="V281" s="11"/>
    </row>
    <row r="282" customFormat="false" ht="15" hidden="false" customHeight="false" outlineLevel="0" collapsed="false">
      <c r="A282" s="10" t="str">
        <f aca="false">IF(C282="","",ROW()-3)</f>
        <v/>
      </c>
      <c r="B282" s="11"/>
      <c r="C282" s="11"/>
      <c r="D282" s="11"/>
      <c r="E282" s="11"/>
      <c r="F282" s="11"/>
      <c r="G282" s="11"/>
      <c r="H282" s="11"/>
      <c r="I282" s="11"/>
      <c r="J282" s="10" t="str">
        <f aca="false">IF(C282="","",N(H282)+N(I282))</f>
        <v/>
      </c>
      <c r="K282" s="10" t="str">
        <f aca="false">IF(C282="","",MIN(J282,پارامترها!$B$3))</f>
        <v/>
      </c>
      <c r="L282" s="10" t="str">
        <f aca="false">IF(C282="","",MAX(0,J282-پارامترها!$B$3))</f>
        <v/>
      </c>
      <c r="M282" s="11"/>
      <c r="N282" s="11"/>
      <c r="O282" s="11"/>
      <c r="P282" s="11"/>
      <c r="Q282" s="11"/>
      <c r="R282" s="12" t="str">
        <f aca="false">IF(OR(C282="",N(J282)=0),"",K282*2*(N(H282)*پارامترها!$B$4+N(I282)*پارامترها!$B$5)/J282)</f>
        <v/>
      </c>
      <c r="S282" s="12" t="str">
        <f aca="false">IF(C282="","",N(M282)*پارامترها!$B$6+N(N282)*پارامترها!$B$7+N(O282)*پارامترها!$B$8)</f>
        <v/>
      </c>
      <c r="T282" s="12" t="str">
        <f aca="false">IF(C282="","",N(R282)+N(S282))</f>
        <v/>
      </c>
      <c r="U282" s="10" t="str">
        <f aca="false">IF(C282="","",IF(P282&lt;&gt;"بله","ثبت نشده در HIS",IF(N(L282)&gt;0,"ثبت‌شده؛ مازاد بر سقف","ثبت‌شده")))</f>
        <v/>
      </c>
      <c r="V282" s="11"/>
    </row>
    <row r="283" customFormat="false" ht="15" hidden="false" customHeight="false" outlineLevel="0" collapsed="false">
      <c r="A283" s="10" t="str">
        <f aca="false">IF(C283="","",ROW()-3)</f>
        <v/>
      </c>
      <c r="B283" s="11"/>
      <c r="C283" s="11"/>
      <c r="D283" s="11"/>
      <c r="E283" s="11"/>
      <c r="F283" s="11"/>
      <c r="G283" s="11"/>
      <c r="H283" s="11"/>
      <c r="I283" s="11"/>
      <c r="J283" s="10" t="str">
        <f aca="false">IF(C283="","",N(H283)+N(I283))</f>
        <v/>
      </c>
      <c r="K283" s="10" t="str">
        <f aca="false">IF(C283="","",MIN(J283,پارامترها!$B$3))</f>
        <v/>
      </c>
      <c r="L283" s="10" t="str">
        <f aca="false">IF(C283="","",MAX(0,J283-پارامترها!$B$3))</f>
        <v/>
      </c>
      <c r="M283" s="11"/>
      <c r="N283" s="11"/>
      <c r="O283" s="11"/>
      <c r="P283" s="11"/>
      <c r="Q283" s="11"/>
      <c r="R283" s="12" t="str">
        <f aca="false">IF(OR(C283="",N(J283)=0),"",K283*2*(N(H283)*پارامترها!$B$4+N(I283)*پارامترها!$B$5)/J283)</f>
        <v/>
      </c>
      <c r="S283" s="12" t="str">
        <f aca="false">IF(C283="","",N(M283)*پارامترها!$B$6+N(N283)*پارامترها!$B$7+N(O283)*پارامترها!$B$8)</f>
        <v/>
      </c>
      <c r="T283" s="12" t="str">
        <f aca="false">IF(C283="","",N(R283)+N(S283))</f>
        <v/>
      </c>
      <c r="U283" s="10" t="str">
        <f aca="false">IF(C283="","",IF(P283&lt;&gt;"بله","ثبت نشده در HIS",IF(N(L283)&gt;0,"ثبت‌شده؛ مازاد بر سقف","ثبت‌شده")))</f>
        <v/>
      </c>
      <c r="V283" s="11"/>
    </row>
    <row r="284" customFormat="false" ht="15" hidden="false" customHeight="false" outlineLevel="0" collapsed="false">
      <c r="A284" s="10" t="str">
        <f aca="false">IF(C284="","",ROW()-3)</f>
        <v/>
      </c>
      <c r="B284" s="11"/>
      <c r="C284" s="11"/>
      <c r="D284" s="11"/>
      <c r="E284" s="11"/>
      <c r="F284" s="11"/>
      <c r="G284" s="11"/>
      <c r="H284" s="11"/>
      <c r="I284" s="11"/>
      <c r="J284" s="10" t="str">
        <f aca="false">IF(C284="","",N(H284)+N(I284))</f>
        <v/>
      </c>
      <c r="K284" s="10" t="str">
        <f aca="false">IF(C284="","",MIN(J284,پارامترها!$B$3))</f>
        <v/>
      </c>
      <c r="L284" s="10" t="str">
        <f aca="false">IF(C284="","",MAX(0,J284-پارامترها!$B$3))</f>
        <v/>
      </c>
      <c r="M284" s="11"/>
      <c r="N284" s="11"/>
      <c r="O284" s="11"/>
      <c r="P284" s="11"/>
      <c r="Q284" s="11"/>
      <c r="R284" s="12" t="str">
        <f aca="false">IF(OR(C284="",N(J284)=0),"",K284*2*(N(H284)*پارامترها!$B$4+N(I284)*پارامترها!$B$5)/J284)</f>
        <v/>
      </c>
      <c r="S284" s="12" t="str">
        <f aca="false">IF(C284="","",N(M284)*پارامترها!$B$6+N(N284)*پارامترها!$B$7+N(O284)*پارامترها!$B$8)</f>
        <v/>
      </c>
      <c r="T284" s="12" t="str">
        <f aca="false">IF(C284="","",N(R284)+N(S284))</f>
        <v/>
      </c>
      <c r="U284" s="10" t="str">
        <f aca="false">IF(C284="","",IF(P284&lt;&gt;"بله","ثبت نشده در HIS",IF(N(L284)&gt;0,"ثبت‌شده؛ مازاد بر سقف","ثبت‌شده")))</f>
        <v/>
      </c>
      <c r="V284" s="11"/>
    </row>
    <row r="285" customFormat="false" ht="15" hidden="false" customHeight="false" outlineLevel="0" collapsed="false">
      <c r="A285" s="10" t="str">
        <f aca="false">IF(C285="","",ROW()-3)</f>
        <v/>
      </c>
      <c r="B285" s="11"/>
      <c r="C285" s="11"/>
      <c r="D285" s="11"/>
      <c r="E285" s="11"/>
      <c r="F285" s="11"/>
      <c r="G285" s="11"/>
      <c r="H285" s="11"/>
      <c r="I285" s="11"/>
      <c r="J285" s="10" t="str">
        <f aca="false">IF(C285="","",N(H285)+N(I285))</f>
        <v/>
      </c>
      <c r="K285" s="10" t="str">
        <f aca="false">IF(C285="","",MIN(J285,پارامترها!$B$3))</f>
        <v/>
      </c>
      <c r="L285" s="10" t="str">
        <f aca="false">IF(C285="","",MAX(0,J285-پارامترها!$B$3))</f>
        <v/>
      </c>
      <c r="M285" s="11"/>
      <c r="N285" s="11"/>
      <c r="O285" s="11"/>
      <c r="P285" s="11"/>
      <c r="Q285" s="11"/>
      <c r="R285" s="12" t="str">
        <f aca="false">IF(OR(C285="",N(J285)=0),"",K285*2*(N(H285)*پارامترها!$B$4+N(I285)*پارامترها!$B$5)/J285)</f>
        <v/>
      </c>
      <c r="S285" s="12" t="str">
        <f aca="false">IF(C285="","",N(M285)*پارامترها!$B$6+N(N285)*پارامترها!$B$7+N(O285)*پارامترها!$B$8)</f>
        <v/>
      </c>
      <c r="T285" s="12" t="str">
        <f aca="false">IF(C285="","",N(R285)+N(S285))</f>
        <v/>
      </c>
      <c r="U285" s="10" t="str">
        <f aca="false">IF(C285="","",IF(P285&lt;&gt;"بله","ثبت نشده در HIS",IF(N(L285)&gt;0,"ثبت‌شده؛ مازاد بر سقف","ثبت‌شده")))</f>
        <v/>
      </c>
      <c r="V285" s="11"/>
    </row>
    <row r="286" customFormat="false" ht="15" hidden="false" customHeight="false" outlineLevel="0" collapsed="false">
      <c r="A286" s="10" t="str">
        <f aca="false">IF(C286="","",ROW()-3)</f>
        <v/>
      </c>
      <c r="B286" s="11"/>
      <c r="C286" s="11"/>
      <c r="D286" s="11"/>
      <c r="E286" s="11"/>
      <c r="F286" s="11"/>
      <c r="G286" s="11"/>
      <c r="H286" s="11"/>
      <c r="I286" s="11"/>
      <c r="J286" s="10" t="str">
        <f aca="false">IF(C286="","",N(H286)+N(I286))</f>
        <v/>
      </c>
      <c r="K286" s="10" t="str">
        <f aca="false">IF(C286="","",MIN(J286,پارامترها!$B$3))</f>
        <v/>
      </c>
      <c r="L286" s="10" t="str">
        <f aca="false">IF(C286="","",MAX(0,J286-پارامترها!$B$3))</f>
        <v/>
      </c>
      <c r="M286" s="11"/>
      <c r="N286" s="11"/>
      <c r="O286" s="11"/>
      <c r="P286" s="11"/>
      <c r="Q286" s="11"/>
      <c r="R286" s="12" t="str">
        <f aca="false">IF(OR(C286="",N(J286)=0),"",K286*2*(N(H286)*پارامترها!$B$4+N(I286)*پارامترها!$B$5)/J286)</f>
        <v/>
      </c>
      <c r="S286" s="12" t="str">
        <f aca="false">IF(C286="","",N(M286)*پارامترها!$B$6+N(N286)*پارامترها!$B$7+N(O286)*پارامترها!$B$8)</f>
        <v/>
      </c>
      <c r="T286" s="12" t="str">
        <f aca="false">IF(C286="","",N(R286)+N(S286))</f>
        <v/>
      </c>
      <c r="U286" s="10" t="str">
        <f aca="false">IF(C286="","",IF(P286&lt;&gt;"بله","ثبت نشده در HIS",IF(N(L286)&gt;0,"ثبت‌شده؛ مازاد بر سقف","ثبت‌شده")))</f>
        <v/>
      </c>
      <c r="V286" s="11"/>
    </row>
    <row r="287" customFormat="false" ht="15" hidden="false" customHeight="false" outlineLevel="0" collapsed="false">
      <c r="A287" s="10" t="str">
        <f aca="false">IF(C287="","",ROW()-3)</f>
        <v/>
      </c>
      <c r="B287" s="11"/>
      <c r="C287" s="11"/>
      <c r="D287" s="11"/>
      <c r="E287" s="11"/>
      <c r="F287" s="11"/>
      <c r="G287" s="11"/>
      <c r="H287" s="11"/>
      <c r="I287" s="11"/>
      <c r="J287" s="10" t="str">
        <f aca="false">IF(C287="","",N(H287)+N(I287))</f>
        <v/>
      </c>
      <c r="K287" s="10" t="str">
        <f aca="false">IF(C287="","",MIN(J287,پارامترها!$B$3))</f>
        <v/>
      </c>
      <c r="L287" s="10" t="str">
        <f aca="false">IF(C287="","",MAX(0,J287-پارامترها!$B$3))</f>
        <v/>
      </c>
      <c r="M287" s="11"/>
      <c r="N287" s="11"/>
      <c r="O287" s="11"/>
      <c r="P287" s="11"/>
      <c r="Q287" s="11"/>
      <c r="R287" s="12" t="str">
        <f aca="false">IF(OR(C287="",N(J287)=0),"",K287*2*(N(H287)*پارامترها!$B$4+N(I287)*پارامترها!$B$5)/J287)</f>
        <v/>
      </c>
      <c r="S287" s="12" t="str">
        <f aca="false">IF(C287="","",N(M287)*پارامترها!$B$6+N(N287)*پارامترها!$B$7+N(O287)*پارامترها!$B$8)</f>
        <v/>
      </c>
      <c r="T287" s="12" t="str">
        <f aca="false">IF(C287="","",N(R287)+N(S287))</f>
        <v/>
      </c>
      <c r="U287" s="10" t="str">
        <f aca="false">IF(C287="","",IF(P287&lt;&gt;"بله","ثبت نشده در HIS",IF(N(L287)&gt;0,"ثبت‌شده؛ مازاد بر سقف","ثبت‌شده")))</f>
        <v/>
      </c>
      <c r="V287" s="11"/>
    </row>
    <row r="288" customFormat="false" ht="15" hidden="false" customHeight="false" outlineLevel="0" collapsed="false">
      <c r="A288" s="10" t="str">
        <f aca="false">IF(C288="","",ROW()-3)</f>
        <v/>
      </c>
      <c r="B288" s="11"/>
      <c r="C288" s="11"/>
      <c r="D288" s="11"/>
      <c r="E288" s="11"/>
      <c r="F288" s="11"/>
      <c r="G288" s="11"/>
      <c r="H288" s="11"/>
      <c r="I288" s="11"/>
      <c r="J288" s="10" t="str">
        <f aca="false">IF(C288="","",N(H288)+N(I288))</f>
        <v/>
      </c>
      <c r="K288" s="10" t="str">
        <f aca="false">IF(C288="","",MIN(J288,پارامترها!$B$3))</f>
        <v/>
      </c>
      <c r="L288" s="10" t="str">
        <f aca="false">IF(C288="","",MAX(0,J288-پارامترها!$B$3))</f>
        <v/>
      </c>
      <c r="M288" s="11"/>
      <c r="N288" s="11"/>
      <c r="O288" s="11"/>
      <c r="P288" s="11"/>
      <c r="Q288" s="11"/>
      <c r="R288" s="12" t="str">
        <f aca="false">IF(OR(C288="",N(J288)=0),"",K288*2*(N(H288)*پارامترها!$B$4+N(I288)*پارامترها!$B$5)/J288)</f>
        <v/>
      </c>
      <c r="S288" s="12" t="str">
        <f aca="false">IF(C288="","",N(M288)*پارامترها!$B$6+N(N288)*پارامترها!$B$7+N(O288)*پارامترها!$B$8)</f>
        <v/>
      </c>
      <c r="T288" s="12" t="str">
        <f aca="false">IF(C288="","",N(R288)+N(S288))</f>
        <v/>
      </c>
      <c r="U288" s="10" t="str">
        <f aca="false">IF(C288="","",IF(P288&lt;&gt;"بله","ثبت نشده در HIS",IF(N(L288)&gt;0,"ثبت‌شده؛ مازاد بر سقف","ثبت‌شده")))</f>
        <v/>
      </c>
      <c r="V288" s="11"/>
    </row>
    <row r="289" customFormat="false" ht="15" hidden="false" customHeight="false" outlineLevel="0" collapsed="false">
      <c r="A289" s="10" t="str">
        <f aca="false">IF(C289="","",ROW()-3)</f>
        <v/>
      </c>
      <c r="B289" s="11"/>
      <c r="C289" s="11"/>
      <c r="D289" s="11"/>
      <c r="E289" s="11"/>
      <c r="F289" s="11"/>
      <c r="G289" s="11"/>
      <c r="H289" s="11"/>
      <c r="I289" s="11"/>
      <c r="J289" s="10" t="str">
        <f aca="false">IF(C289="","",N(H289)+N(I289))</f>
        <v/>
      </c>
      <c r="K289" s="10" t="str">
        <f aca="false">IF(C289="","",MIN(J289,پارامترها!$B$3))</f>
        <v/>
      </c>
      <c r="L289" s="10" t="str">
        <f aca="false">IF(C289="","",MAX(0,J289-پارامترها!$B$3))</f>
        <v/>
      </c>
      <c r="M289" s="11"/>
      <c r="N289" s="11"/>
      <c r="O289" s="11"/>
      <c r="P289" s="11"/>
      <c r="Q289" s="11"/>
      <c r="R289" s="12" t="str">
        <f aca="false">IF(OR(C289="",N(J289)=0),"",K289*2*(N(H289)*پارامترها!$B$4+N(I289)*پارامترها!$B$5)/J289)</f>
        <v/>
      </c>
      <c r="S289" s="12" t="str">
        <f aca="false">IF(C289="","",N(M289)*پارامترها!$B$6+N(N289)*پارامترها!$B$7+N(O289)*پارامترها!$B$8)</f>
        <v/>
      </c>
      <c r="T289" s="12" t="str">
        <f aca="false">IF(C289="","",N(R289)+N(S289))</f>
        <v/>
      </c>
      <c r="U289" s="10" t="str">
        <f aca="false">IF(C289="","",IF(P289&lt;&gt;"بله","ثبت نشده در HIS",IF(N(L289)&gt;0,"ثبت‌شده؛ مازاد بر سقف","ثبت‌شده")))</f>
        <v/>
      </c>
      <c r="V289" s="11"/>
    </row>
    <row r="290" customFormat="false" ht="15" hidden="false" customHeight="false" outlineLevel="0" collapsed="false">
      <c r="A290" s="10" t="str">
        <f aca="false">IF(C290="","",ROW()-3)</f>
        <v/>
      </c>
      <c r="B290" s="11"/>
      <c r="C290" s="11"/>
      <c r="D290" s="11"/>
      <c r="E290" s="11"/>
      <c r="F290" s="11"/>
      <c r="G290" s="11"/>
      <c r="H290" s="11"/>
      <c r="I290" s="11"/>
      <c r="J290" s="10" t="str">
        <f aca="false">IF(C290="","",N(H290)+N(I290))</f>
        <v/>
      </c>
      <c r="K290" s="10" t="str">
        <f aca="false">IF(C290="","",MIN(J290,پارامترها!$B$3))</f>
        <v/>
      </c>
      <c r="L290" s="10" t="str">
        <f aca="false">IF(C290="","",MAX(0,J290-پارامترها!$B$3))</f>
        <v/>
      </c>
      <c r="M290" s="11"/>
      <c r="N290" s="11"/>
      <c r="O290" s="11"/>
      <c r="P290" s="11"/>
      <c r="Q290" s="11"/>
      <c r="R290" s="12" t="str">
        <f aca="false">IF(OR(C290="",N(J290)=0),"",K290*2*(N(H290)*پارامترها!$B$4+N(I290)*پارامترها!$B$5)/J290)</f>
        <v/>
      </c>
      <c r="S290" s="12" t="str">
        <f aca="false">IF(C290="","",N(M290)*پارامترها!$B$6+N(N290)*پارامترها!$B$7+N(O290)*پارامترها!$B$8)</f>
        <v/>
      </c>
      <c r="T290" s="12" t="str">
        <f aca="false">IF(C290="","",N(R290)+N(S290))</f>
        <v/>
      </c>
      <c r="U290" s="10" t="str">
        <f aca="false">IF(C290="","",IF(P290&lt;&gt;"بله","ثبت نشده در HIS",IF(N(L290)&gt;0,"ثبت‌شده؛ مازاد بر سقف","ثبت‌شده")))</f>
        <v/>
      </c>
      <c r="V290" s="11"/>
    </row>
    <row r="291" customFormat="false" ht="15" hidden="false" customHeight="false" outlineLevel="0" collapsed="false">
      <c r="A291" s="10" t="str">
        <f aca="false">IF(C291="","",ROW()-3)</f>
        <v/>
      </c>
      <c r="B291" s="11"/>
      <c r="C291" s="11"/>
      <c r="D291" s="11"/>
      <c r="E291" s="11"/>
      <c r="F291" s="11"/>
      <c r="G291" s="11"/>
      <c r="H291" s="11"/>
      <c r="I291" s="11"/>
      <c r="J291" s="10" t="str">
        <f aca="false">IF(C291="","",N(H291)+N(I291))</f>
        <v/>
      </c>
      <c r="K291" s="10" t="str">
        <f aca="false">IF(C291="","",MIN(J291,پارامترها!$B$3))</f>
        <v/>
      </c>
      <c r="L291" s="10" t="str">
        <f aca="false">IF(C291="","",MAX(0,J291-پارامترها!$B$3))</f>
        <v/>
      </c>
      <c r="M291" s="11"/>
      <c r="N291" s="11"/>
      <c r="O291" s="11"/>
      <c r="P291" s="11"/>
      <c r="Q291" s="11"/>
      <c r="R291" s="12" t="str">
        <f aca="false">IF(OR(C291="",N(J291)=0),"",K291*2*(N(H291)*پارامترها!$B$4+N(I291)*پارامترها!$B$5)/J291)</f>
        <v/>
      </c>
      <c r="S291" s="12" t="str">
        <f aca="false">IF(C291="","",N(M291)*پارامترها!$B$6+N(N291)*پارامترها!$B$7+N(O291)*پارامترها!$B$8)</f>
        <v/>
      </c>
      <c r="T291" s="12" t="str">
        <f aca="false">IF(C291="","",N(R291)+N(S291))</f>
        <v/>
      </c>
      <c r="U291" s="10" t="str">
        <f aca="false">IF(C291="","",IF(P291&lt;&gt;"بله","ثبت نشده در HIS",IF(N(L291)&gt;0,"ثبت‌شده؛ مازاد بر سقف","ثبت‌شده")))</f>
        <v/>
      </c>
      <c r="V291" s="11"/>
    </row>
    <row r="292" customFormat="false" ht="15" hidden="false" customHeight="false" outlineLevel="0" collapsed="false">
      <c r="A292" s="10" t="str">
        <f aca="false">IF(C292="","",ROW()-3)</f>
        <v/>
      </c>
      <c r="B292" s="11"/>
      <c r="C292" s="11"/>
      <c r="D292" s="11"/>
      <c r="E292" s="11"/>
      <c r="F292" s="11"/>
      <c r="G292" s="11"/>
      <c r="H292" s="11"/>
      <c r="I292" s="11"/>
      <c r="J292" s="10" t="str">
        <f aca="false">IF(C292="","",N(H292)+N(I292))</f>
        <v/>
      </c>
      <c r="K292" s="10" t="str">
        <f aca="false">IF(C292="","",MIN(J292,پارامترها!$B$3))</f>
        <v/>
      </c>
      <c r="L292" s="10" t="str">
        <f aca="false">IF(C292="","",MAX(0,J292-پارامترها!$B$3))</f>
        <v/>
      </c>
      <c r="M292" s="11"/>
      <c r="N292" s="11"/>
      <c r="O292" s="11"/>
      <c r="P292" s="11"/>
      <c r="Q292" s="11"/>
      <c r="R292" s="12" t="str">
        <f aca="false">IF(OR(C292="",N(J292)=0),"",K292*2*(N(H292)*پارامترها!$B$4+N(I292)*پارامترها!$B$5)/J292)</f>
        <v/>
      </c>
      <c r="S292" s="12" t="str">
        <f aca="false">IF(C292="","",N(M292)*پارامترها!$B$6+N(N292)*پارامترها!$B$7+N(O292)*پارامترها!$B$8)</f>
        <v/>
      </c>
      <c r="T292" s="12" t="str">
        <f aca="false">IF(C292="","",N(R292)+N(S292))</f>
        <v/>
      </c>
      <c r="U292" s="10" t="str">
        <f aca="false">IF(C292="","",IF(P292&lt;&gt;"بله","ثبت نشده در HIS",IF(N(L292)&gt;0,"ثبت‌شده؛ مازاد بر سقف","ثبت‌شده")))</f>
        <v/>
      </c>
      <c r="V292" s="11"/>
    </row>
    <row r="293" customFormat="false" ht="15" hidden="false" customHeight="false" outlineLevel="0" collapsed="false">
      <c r="A293" s="10" t="str">
        <f aca="false">IF(C293="","",ROW()-3)</f>
        <v/>
      </c>
      <c r="B293" s="11"/>
      <c r="C293" s="11"/>
      <c r="D293" s="11"/>
      <c r="E293" s="11"/>
      <c r="F293" s="11"/>
      <c r="G293" s="11"/>
      <c r="H293" s="11"/>
      <c r="I293" s="11"/>
      <c r="J293" s="10" t="str">
        <f aca="false">IF(C293="","",N(H293)+N(I293))</f>
        <v/>
      </c>
      <c r="K293" s="10" t="str">
        <f aca="false">IF(C293="","",MIN(J293,پارامترها!$B$3))</f>
        <v/>
      </c>
      <c r="L293" s="10" t="str">
        <f aca="false">IF(C293="","",MAX(0,J293-پارامترها!$B$3))</f>
        <v/>
      </c>
      <c r="M293" s="11"/>
      <c r="N293" s="11"/>
      <c r="O293" s="11"/>
      <c r="P293" s="11"/>
      <c r="Q293" s="11"/>
      <c r="R293" s="12" t="str">
        <f aca="false">IF(OR(C293="",N(J293)=0),"",K293*2*(N(H293)*پارامترها!$B$4+N(I293)*پارامترها!$B$5)/J293)</f>
        <v/>
      </c>
      <c r="S293" s="12" t="str">
        <f aca="false">IF(C293="","",N(M293)*پارامترها!$B$6+N(N293)*پارامترها!$B$7+N(O293)*پارامترها!$B$8)</f>
        <v/>
      </c>
      <c r="T293" s="12" t="str">
        <f aca="false">IF(C293="","",N(R293)+N(S293))</f>
        <v/>
      </c>
      <c r="U293" s="10" t="str">
        <f aca="false">IF(C293="","",IF(P293&lt;&gt;"بله","ثبت نشده در HIS",IF(N(L293)&gt;0,"ثبت‌شده؛ مازاد بر سقف","ثبت‌شده")))</f>
        <v/>
      </c>
      <c r="V293" s="11"/>
    </row>
    <row r="294" customFormat="false" ht="15" hidden="false" customHeight="false" outlineLevel="0" collapsed="false">
      <c r="A294" s="10" t="str">
        <f aca="false">IF(C294="","",ROW()-3)</f>
        <v/>
      </c>
      <c r="B294" s="11"/>
      <c r="C294" s="11"/>
      <c r="D294" s="11"/>
      <c r="E294" s="11"/>
      <c r="F294" s="11"/>
      <c r="G294" s="11"/>
      <c r="H294" s="11"/>
      <c r="I294" s="11"/>
      <c r="J294" s="10" t="str">
        <f aca="false">IF(C294="","",N(H294)+N(I294))</f>
        <v/>
      </c>
      <c r="K294" s="10" t="str">
        <f aca="false">IF(C294="","",MIN(J294,پارامترها!$B$3))</f>
        <v/>
      </c>
      <c r="L294" s="10" t="str">
        <f aca="false">IF(C294="","",MAX(0,J294-پارامترها!$B$3))</f>
        <v/>
      </c>
      <c r="M294" s="11"/>
      <c r="N294" s="11"/>
      <c r="O294" s="11"/>
      <c r="P294" s="11"/>
      <c r="Q294" s="11"/>
      <c r="R294" s="12" t="str">
        <f aca="false">IF(OR(C294="",N(J294)=0),"",K294*2*(N(H294)*پارامترها!$B$4+N(I294)*پارامترها!$B$5)/J294)</f>
        <v/>
      </c>
      <c r="S294" s="12" t="str">
        <f aca="false">IF(C294="","",N(M294)*پارامترها!$B$6+N(N294)*پارامترها!$B$7+N(O294)*پارامترها!$B$8)</f>
        <v/>
      </c>
      <c r="T294" s="12" t="str">
        <f aca="false">IF(C294="","",N(R294)+N(S294))</f>
        <v/>
      </c>
      <c r="U294" s="10" t="str">
        <f aca="false">IF(C294="","",IF(P294&lt;&gt;"بله","ثبت نشده در HIS",IF(N(L294)&gt;0,"ثبت‌شده؛ مازاد بر سقف","ثبت‌شده")))</f>
        <v/>
      </c>
      <c r="V294" s="11"/>
    </row>
    <row r="295" customFormat="false" ht="15" hidden="false" customHeight="false" outlineLevel="0" collapsed="false">
      <c r="A295" s="10" t="str">
        <f aca="false">IF(C295="","",ROW()-3)</f>
        <v/>
      </c>
      <c r="B295" s="11"/>
      <c r="C295" s="11"/>
      <c r="D295" s="11"/>
      <c r="E295" s="11"/>
      <c r="F295" s="11"/>
      <c r="G295" s="11"/>
      <c r="H295" s="11"/>
      <c r="I295" s="11"/>
      <c r="J295" s="10" t="str">
        <f aca="false">IF(C295="","",N(H295)+N(I295))</f>
        <v/>
      </c>
      <c r="K295" s="10" t="str">
        <f aca="false">IF(C295="","",MIN(J295,پارامترها!$B$3))</f>
        <v/>
      </c>
      <c r="L295" s="10" t="str">
        <f aca="false">IF(C295="","",MAX(0,J295-پارامترها!$B$3))</f>
        <v/>
      </c>
      <c r="M295" s="11"/>
      <c r="N295" s="11"/>
      <c r="O295" s="11"/>
      <c r="P295" s="11"/>
      <c r="Q295" s="11"/>
      <c r="R295" s="12" t="str">
        <f aca="false">IF(OR(C295="",N(J295)=0),"",K295*2*(N(H295)*پارامترها!$B$4+N(I295)*پارامترها!$B$5)/J295)</f>
        <v/>
      </c>
      <c r="S295" s="12" t="str">
        <f aca="false">IF(C295="","",N(M295)*پارامترها!$B$6+N(N295)*پارامترها!$B$7+N(O295)*پارامترها!$B$8)</f>
        <v/>
      </c>
      <c r="T295" s="12" t="str">
        <f aca="false">IF(C295="","",N(R295)+N(S295))</f>
        <v/>
      </c>
      <c r="U295" s="10" t="str">
        <f aca="false">IF(C295="","",IF(P295&lt;&gt;"بله","ثبت نشده در HIS",IF(N(L295)&gt;0,"ثبت‌شده؛ مازاد بر سقف","ثبت‌شده")))</f>
        <v/>
      </c>
      <c r="V295" s="11"/>
    </row>
    <row r="296" customFormat="false" ht="15" hidden="false" customHeight="false" outlineLevel="0" collapsed="false">
      <c r="A296" s="10" t="str">
        <f aca="false">IF(C296="","",ROW()-3)</f>
        <v/>
      </c>
      <c r="B296" s="11"/>
      <c r="C296" s="11"/>
      <c r="D296" s="11"/>
      <c r="E296" s="11"/>
      <c r="F296" s="11"/>
      <c r="G296" s="11"/>
      <c r="H296" s="11"/>
      <c r="I296" s="11"/>
      <c r="J296" s="10" t="str">
        <f aca="false">IF(C296="","",N(H296)+N(I296))</f>
        <v/>
      </c>
      <c r="K296" s="10" t="str">
        <f aca="false">IF(C296="","",MIN(J296,پارامترها!$B$3))</f>
        <v/>
      </c>
      <c r="L296" s="10" t="str">
        <f aca="false">IF(C296="","",MAX(0,J296-پارامترها!$B$3))</f>
        <v/>
      </c>
      <c r="M296" s="11"/>
      <c r="N296" s="11"/>
      <c r="O296" s="11"/>
      <c r="P296" s="11"/>
      <c r="Q296" s="11"/>
      <c r="R296" s="12" t="str">
        <f aca="false">IF(OR(C296="",N(J296)=0),"",K296*2*(N(H296)*پارامترها!$B$4+N(I296)*پارامترها!$B$5)/J296)</f>
        <v/>
      </c>
      <c r="S296" s="12" t="str">
        <f aca="false">IF(C296="","",N(M296)*پارامترها!$B$6+N(N296)*پارامترها!$B$7+N(O296)*پارامترها!$B$8)</f>
        <v/>
      </c>
      <c r="T296" s="12" t="str">
        <f aca="false">IF(C296="","",N(R296)+N(S296))</f>
        <v/>
      </c>
      <c r="U296" s="10" t="str">
        <f aca="false">IF(C296="","",IF(P296&lt;&gt;"بله","ثبت نشده در HIS",IF(N(L296)&gt;0,"ثبت‌شده؛ مازاد بر سقف","ثبت‌شده")))</f>
        <v/>
      </c>
      <c r="V296" s="11"/>
    </row>
    <row r="297" customFormat="false" ht="15" hidden="false" customHeight="false" outlineLevel="0" collapsed="false">
      <c r="A297" s="10" t="str">
        <f aca="false">IF(C297="","",ROW()-3)</f>
        <v/>
      </c>
      <c r="B297" s="11"/>
      <c r="C297" s="11"/>
      <c r="D297" s="11"/>
      <c r="E297" s="11"/>
      <c r="F297" s="11"/>
      <c r="G297" s="11"/>
      <c r="H297" s="11"/>
      <c r="I297" s="11"/>
      <c r="J297" s="10" t="str">
        <f aca="false">IF(C297="","",N(H297)+N(I297))</f>
        <v/>
      </c>
      <c r="K297" s="10" t="str">
        <f aca="false">IF(C297="","",MIN(J297,پارامترها!$B$3))</f>
        <v/>
      </c>
      <c r="L297" s="10" t="str">
        <f aca="false">IF(C297="","",MAX(0,J297-پارامترها!$B$3))</f>
        <v/>
      </c>
      <c r="M297" s="11"/>
      <c r="N297" s="11"/>
      <c r="O297" s="11"/>
      <c r="P297" s="11"/>
      <c r="Q297" s="11"/>
      <c r="R297" s="12" t="str">
        <f aca="false">IF(OR(C297="",N(J297)=0),"",K297*2*(N(H297)*پارامترها!$B$4+N(I297)*پارامترها!$B$5)/J297)</f>
        <v/>
      </c>
      <c r="S297" s="12" t="str">
        <f aca="false">IF(C297="","",N(M297)*پارامترها!$B$6+N(N297)*پارامترها!$B$7+N(O297)*پارامترها!$B$8)</f>
        <v/>
      </c>
      <c r="T297" s="12" t="str">
        <f aca="false">IF(C297="","",N(R297)+N(S297))</f>
        <v/>
      </c>
      <c r="U297" s="10" t="str">
        <f aca="false">IF(C297="","",IF(P297&lt;&gt;"بله","ثبت نشده در HIS",IF(N(L297)&gt;0,"ثبت‌شده؛ مازاد بر سقف","ثبت‌شده")))</f>
        <v/>
      </c>
      <c r="V297" s="11"/>
    </row>
    <row r="298" customFormat="false" ht="15" hidden="false" customHeight="false" outlineLevel="0" collapsed="false">
      <c r="A298" s="10" t="str">
        <f aca="false">IF(C298="","",ROW()-3)</f>
        <v/>
      </c>
      <c r="B298" s="11"/>
      <c r="C298" s="11"/>
      <c r="D298" s="11"/>
      <c r="E298" s="11"/>
      <c r="F298" s="11"/>
      <c r="G298" s="11"/>
      <c r="H298" s="11"/>
      <c r="I298" s="11"/>
      <c r="J298" s="10" t="str">
        <f aca="false">IF(C298="","",N(H298)+N(I298))</f>
        <v/>
      </c>
      <c r="K298" s="10" t="str">
        <f aca="false">IF(C298="","",MIN(J298,پارامترها!$B$3))</f>
        <v/>
      </c>
      <c r="L298" s="10" t="str">
        <f aca="false">IF(C298="","",MAX(0,J298-پارامترها!$B$3))</f>
        <v/>
      </c>
      <c r="M298" s="11"/>
      <c r="N298" s="11"/>
      <c r="O298" s="11"/>
      <c r="P298" s="11"/>
      <c r="Q298" s="11"/>
      <c r="R298" s="12" t="str">
        <f aca="false">IF(OR(C298="",N(J298)=0),"",K298*2*(N(H298)*پارامترها!$B$4+N(I298)*پارامترها!$B$5)/J298)</f>
        <v/>
      </c>
      <c r="S298" s="12" t="str">
        <f aca="false">IF(C298="","",N(M298)*پارامترها!$B$6+N(N298)*پارامترها!$B$7+N(O298)*پارامترها!$B$8)</f>
        <v/>
      </c>
      <c r="T298" s="12" t="str">
        <f aca="false">IF(C298="","",N(R298)+N(S298))</f>
        <v/>
      </c>
      <c r="U298" s="10" t="str">
        <f aca="false">IF(C298="","",IF(P298&lt;&gt;"بله","ثبت نشده در HIS",IF(N(L298)&gt;0,"ثبت‌شده؛ مازاد بر سقف","ثبت‌شده")))</f>
        <v/>
      </c>
      <c r="V298" s="11"/>
    </row>
    <row r="299" customFormat="false" ht="15" hidden="false" customHeight="false" outlineLevel="0" collapsed="false">
      <c r="A299" s="10" t="str">
        <f aca="false">IF(C299="","",ROW()-3)</f>
        <v/>
      </c>
      <c r="B299" s="11"/>
      <c r="C299" s="11"/>
      <c r="D299" s="11"/>
      <c r="E299" s="11"/>
      <c r="F299" s="11"/>
      <c r="G299" s="11"/>
      <c r="H299" s="11"/>
      <c r="I299" s="11"/>
      <c r="J299" s="10" t="str">
        <f aca="false">IF(C299="","",N(H299)+N(I299))</f>
        <v/>
      </c>
      <c r="K299" s="10" t="str">
        <f aca="false">IF(C299="","",MIN(J299,پارامترها!$B$3))</f>
        <v/>
      </c>
      <c r="L299" s="10" t="str">
        <f aca="false">IF(C299="","",MAX(0,J299-پارامترها!$B$3))</f>
        <v/>
      </c>
      <c r="M299" s="11"/>
      <c r="N299" s="11"/>
      <c r="O299" s="11"/>
      <c r="P299" s="11"/>
      <c r="Q299" s="11"/>
      <c r="R299" s="12" t="str">
        <f aca="false">IF(OR(C299="",N(J299)=0),"",K299*2*(N(H299)*پارامترها!$B$4+N(I299)*پارامترها!$B$5)/J299)</f>
        <v/>
      </c>
      <c r="S299" s="12" t="str">
        <f aca="false">IF(C299="","",N(M299)*پارامترها!$B$6+N(N299)*پارامترها!$B$7+N(O299)*پارامترها!$B$8)</f>
        <v/>
      </c>
      <c r="T299" s="12" t="str">
        <f aca="false">IF(C299="","",N(R299)+N(S299))</f>
        <v/>
      </c>
      <c r="U299" s="10" t="str">
        <f aca="false">IF(C299="","",IF(P299&lt;&gt;"بله","ثبت نشده در HIS",IF(N(L299)&gt;0,"ثبت‌شده؛ مازاد بر سقف","ثبت‌شده")))</f>
        <v/>
      </c>
      <c r="V299" s="11"/>
    </row>
    <row r="300" customFormat="false" ht="15" hidden="false" customHeight="false" outlineLevel="0" collapsed="false">
      <c r="A300" s="10" t="str">
        <f aca="false">IF(C300="","",ROW()-3)</f>
        <v/>
      </c>
      <c r="B300" s="11"/>
      <c r="C300" s="11"/>
      <c r="D300" s="11"/>
      <c r="E300" s="11"/>
      <c r="F300" s="11"/>
      <c r="G300" s="11"/>
      <c r="H300" s="11"/>
      <c r="I300" s="11"/>
      <c r="J300" s="10" t="str">
        <f aca="false">IF(C300="","",N(H300)+N(I300))</f>
        <v/>
      </c>
      <c r="K300" s="10" t="str">
        <f aca="false">IF(C300="","",MIN(J300,پارامترها!$B$3))</f>
        <v/>
      </c>
      <c r="L300" s="10" t="str">
        <f aca="false">IF(C300="","",MAX(0,J300-پارامترها!$B$3))</f>
        <v/>
      </c>
      <c r="M300" s="11"/>
      <c r="N300" s="11"/>
      <c r="O300" s="11"/>
      <c r="P300" s="11"/>
      <c r="Q300" s="11"/>
      <c r="R300" s="12" t="str">
        <f aca="false">IF(OR(C300="",N(J300)=0),"",K300*2*(N(H300)*پارامترها!$B$4+N(I300)*پارامترها!$B$5)/J300)</f>
        <v/>
      </c>
      <c r="S300" s="12" t="str">
        <f aca="false">IF(C300="","",N(M300)*پارامترها!$B$6+N(N300)*پارامترها!$B$7+N(O300)*پارامترها!$B$8)</f>
        <v/>
      </c>
      <c r="T300" s="12" t="str">
        <f aca="false">IF(C300="","",N(R300)+N(S300))</f>
        <v/>
      </c>
      <c r="U300" s="10" t="str">
        <f aca="false">IF(C300="","",IF(P300&lt;&gt;"بله","ثبت نشده در HIS",IF(N(L300)&gt;0,"ثبت‌شده؛ مازاد بر سقف","ثبت‌شده")))</f>
        <v/>
      </c>
      <c r="V300" s="11"/>
    </row>
    <row r="301" customFormat="false" ht="15" hidden="false" customHeight="false" outlineLevel="0" collapsed="false">
      <c r="A301" s="10" t="str">
        <f aca="false">IF(C301="","",ROW()-3)</f>
        <v/>
      </c>
      <c r="B301" s="11"/>
      <c r="C301" s="11"/>
      <c r="D301" s="11"/>
      <c r="E301" s="11"/>
      <c r="F301" s="11"/>
      <c r="G301" s="11"/>
      <c r="H301" s="11"/>
      <c r="I301" s="11"/>
      <c r="J301" s="10" t="str">
        <f aca="false">IF(C301="","",N(H301)+N(I301))</f>
        <v/>
      </c>
      <c r="K301" s="10" t="str">
        <f aca="false">IF(C301="","",MIN(J301,پارامترها!$B$3))</f>
        <v/>
      </c>
      <c r="L301" s="10" t="str">
        <f aca="false">IF(C301="","",MAX(0,J301-پارامترها!$B$3))</f>
        <v/>
      </c>
      <c r="M301" s="11"/>
      <c r="N301" s="11"/>
      <c r="O301" s="11"/>
      <c r="P301" s="11"/>
      <c r="Q301" s="11"/>
      <c r="R301" s="12" t="str">
        <f aca="false">IF(OR(C301="",N(J301)=0),"",K301*2*(N(H301)*پارامترها!$B$4+N(I301)*پارامترها!$B$5)/J301)</f>
        <v/>
      </c>
      <c r="S301" s="12" t="str">
        <f aca="false">IF(C301="","",N(M301)*پارامترها!$B$6+N(N301)*پارامترها!$B$7+N(O301)*پارامترها!$B$8)</f>
        <v/>
      </c>
      <c r="T301" s="12" t="str">
        <f aca="false">IF(C301="","",N(R301)+N(S301))</f>
        <v/>
      </c>
      <c r="U301" s="10" t="str">
        <f aca="false">IF(C301="","",IF(P301&lt;&gt;"بله","ثبت نشده در HIS",IF(N(L301)&gt;0,"ثبت‌شده؛ مازاد بر سقف","ثبت‌شده")))</f>
        <v/>
      </c>
      <c r="V301" s="11"/>
    </row>
    <row r="302" customFormat="false" ht="15" hidden="false" customHeight="false" outlineLevel="0" collapsed="false">
      <c r="A302" s="10" t="str">
        <f aca="false">IF(C302="","",ROW()-3)</f>
        <v/>
      </c>
      <c r="B302" s="11"/>
      <c r="C302" s="11"/>
      <c r="D302" s="11"/>
      <c r="E302" s="11"/>
      <c r="F302" s="11"/>
      <c r="G302" s="11"/>
      <c r="H302" s="11"/>
      <c r="I302" s="11"/>
      <c r="J302" s="10" t="str">
        <f aca="false">IF(C302="","",N(H302)+N(I302))</f>
        <v/>
      </c>
      <c r="K302" s="10" t="str">
        <f aca="false">IF(C302="","",MIN(J302,پارامترها!$B$3))</f>
        <v/>
      </c>
      <c r="L302" s="10" t="str">
        <f aca="false">IF(C302="","",MAX(0,J302-پارامترها!$B$3))</f>
        <v/>
      </c>
      <c r="M302" s="11"/>
      <c r="N302" s="11"/>
      <c r="O302" s="11"/>
      <c r="P302" s="11"/>
      <c r="Q302" s="11"/>
      <c r="R302" s="12" t="str">
        <f aca="false">IF(OR(C302="",N(J302)=0),"",K302*2*(N(H302)*پارامترها!$B$4+N(I302)*پارامترها!$B$5)/J302)</f>
        <v/>
      </c>
      <c r="S302" s="12" t="str">
        <f aca="false">IF(C302="","",N(M302)*پارامترها!$B$6+N(N302)*پارامترها!$B$7+N(O302)*پارامترها!$B$8)</f>
        <v/>
      </c>
      <c r="T302" s="12" t="str">
        <f aca="false">IF(C302="","",N(R302)+N(S302))</f>
        <v/>
      </c>
      <c r="U302" s="10" t="str">
        <f aca="false">IF(C302="","",IF(P302&lt;&gt;"بله","ثبت نشده در HIS",IF(N(L302)&gt;0,"ثبت‌شده؛ مازاد بر سقف","ثبت‌شده")))</f>
        <v/>
      </c>
      <c r="V302" s="11"/>
    </row>
    <row r="303" customFormat="false" ht="15" hidden="false" customHeight="false" outlineLevel="0" collapsed="false">
      <c r="A303" s="10" t="str">
        <f aca="false">IF(C303="","",ROW()-3)</f>
        <v/>
      </c>
      <c r="B303" s="11"/>
      <c r="C303" s="11"/>
      <c r="D303" s="11"/>
      <c r="E303" s="11"/>
      <c r="F303" s="11"/>
      <c r="G303" s="11"/>
      <c r="H303" s="11"/>
      <c r="I303" s="11"/>
      <c r="J303" s="10" t="str">
        <f aca="false">IF(C303="","",N(H303)+N(I303))</f>
        <v/>
      </c>
      <c r="K303" s="10" t="str">
        <f aca="false">IF(C303="","",MIN(J303,پارامترها!$B$3))</f>
        <v/>
      </c>
      <c r="L303" s="10" t="str">
        <f aca="false">IF(C303="","",MAX(0,J303-پارامترها!$B$3))</f>
        <v/>
      </c>
      <c r="M303" s="11"/>
      <c r="N303" s="11"/>
      <c r="O303" s="11"/>
      <c r="P303" s="11"/>
      <c r="Q303" s="11"/>
      <c r="R303" s="12" t="str">
        <f aca="false">IF(OR(C303="",N(J303)=0),"",K303*2*(N(H303)*پارامترها!$B$4+N(I303)*پارامترها!$B$5)/J303)</f>
        <v/>
      </c>
      <c r="S303" s="12" t="str">
        <f aca="false">IF(C303="","",N(M303)*پارامترها!$B$6+N(N303)*پارامترها!$B$7+N(O303)*پارامترها!$B$8)</f>
        <v/>
      </c>
      <c r="T303" s="12" t="str">
        <f aca="false">IF(C303="","",N(R303)+N(S303))</f>
        <v/>
      </c>
      <c r="U303" s="10" t="str">
        <f aca="false">IF(C303="","",IF(P303&lt;&gt;"بله","ثبت نشده در HIS",IF(N(L303)&gt;0,"ثبت‌شده؛ مازاد بر سقف","ثبت‌شده")))</f>
        <v/>
      </c>
      <c r="V303" s="11"/>
    </row>
  </sheetData>
  <conditionalFormatting sqref="L4:L303">
    <cfRule type="expression" priority="2" aboveAverage="0" equalAverage="0" bottom="0" percent="0" rank="0" text="" dxfId="0">
      <formula>AND(L4&lt;&gt;"",N(L4)&gt;0)</formula>
    </cfRule>
  </conditionalFormatting>
  <conditionalFormatting sqref="U4:U303">
    <cfRule type="expression" priority="3" aboveAverage="0" equalAverage="0" bottom="0" percent="0" rank="0" text="" dxfId="0">
      <formula>U4="ثبت نشده در HIS"</formula>
    </cfRule>
  </conditionalFormatting>
  <dataValidations count="2">
    <dataValidation allowBlank="true" errorStyle="stop" operator="between" showDropDown="false" showErrorMessage="false" showInputMessage="false" sqref="P4:P303" type="list">
      <formula1>فهرست!$A$1:$A$2</formula1>
      <formula2>0</formula2>
    </dataValidation>
    <dataValidation allowBlank="true" error="عدد صحیح بین ۰ و ۵۰" errorStyle="stop" operator="between" showDropDown="false" showErrorMessage="false" showInputMessage="false" sqref="H4:I303 M4:O303" type="whole">
      <formula1>0</formula1>
      <formula2>50</formula2>
    </dataValidation>
  </dataValidations>
  <printOptions headings="false" gridLines="tru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3" t="s">
        <v>55</v>
      </c>
    </row>
    <row r="2" customFormat="false" ht="15" hidden="false" customHeight="false" outlineLevel="0" collapsed="false">
      <c r="A2" s="1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4" t="s">
        <v>57</v>
      </c>
    </row>
    <row r="3" customFormat="false" ht="15" hidden="false" customHeight="false" outlineLevel="0" collapsed="false">
      <c r="A3" s="14" t="s">
        <v>58</v>
      </c>
      <c r="B3" s="15" t="n">
        <f aca="false">COUNTA('ثبت روزانه'!$C$4:$C$303)</f>
        <v>0</v>
      </c>
    </row>
    <row r="4" customFormat="false" ht="15" hidden="false" customHeight="false" outlineLevel="0" collapsed="false">
      <c r="A4" s="14" t="s">
        <v>59</v>
      </c>
      <c r="B4" s="15" t="n">
        <f aca="false">COUNTIF('ثبت روزانه'!$P$4:$P$303,"بله")</f>
        <v>0</v>
      </c>
    </row>
    <row r="5" customFormat="false" ht="15" hidden="false" customHeight="false" outlineLevel="0" collapsed="false">
      <c r="A5" s="14" t="s">
        <v>60</v>
      </c>
      <c r="B5" s="16" t="n">
        <f aca="false">IFERROR(B4/B3,0)</f>
        <v>0</v>
      </c>
    </row>
    <row r="6" customFormat="false" ht="15" hidden="false" customHeight="false" outlineLevel="0" collapsed="false">
      <c r="A6" s="14" t="s">
        <v>61</v>
      </c>
      <c r="B6" s="17" t="n">
        <f aca="false">SUM('ثبت روزانه'!$J$4:$J$303)</f>
        <v>0</v>
      </c>
    </row>
    <row r="7" customFormat="false" ht="15" hidden="false" customHeight="false" outlineLevel="0" collapsed="false">
      <c r="A7" s="14" t="s">
        <v>62</v>
      </c>
      <c r="B7" s="17" t="n">
        <f aca="false">SUM('ثبت روزانه'!$K$4:$K$303)</f>
        <v>0</v>
      </c>
    </row>
    <row r="8" customFormat="false" ht="15" hidden="false" customHeight="false" outlineLevel="0" collapsed="false">
      <c r="A8" s="14" t="s">
        <v>63</v>
      </c>
      <c r="B8" s="17" t="n">
        <f aca="false">SUM('ثبت روزانه'!$L$4:$L$303)</f>
        <v>0</v>
      </c>
    </row>
    <row r="9" customFormat="false" ht="15" hidden="false" customHeight="false" outlineLevel="0" collapsed="false">
      <c r="A9" s="14" t="s">
        <v>64</v>
      </c>
      <c r="B9" s="15" t="n">
        <f aca="false">COUNTIF('ثبت روزانه'!$L$4:$L$303,"&gt;0")</f>
        <v>0</v>
      </c>
    </row>
    <row r="10" customFormat="false" ht="15" hidden="false" customHeight="false" outlineLevel="0" collapsed="false">
      <c r="A10" s="14" t="s">
        <v>65</v>
      </c>
      <c r="B10" s="18" t="n">
        <f aca="false">IFERROR(B6/B3,0)</f>
        <v>0</v>
      </c>
    </row>
    <row r="11" customFormat="false" ht="15" hidden="false" customHeight="false" outlineLevel="0" collapsed="false">
      <c r="A11" s="14" t="s">
        <v>50</v>
      </c>
      <c r="B11" s="17" t="n">
        <f aca="false">SUM('ثبت روزانه'!$R$4:$R$303)</f>
        <v>0</v>
      </c>
    </row>
    <row r="12" customFormat="false" ht="15" hidden="false" customHeight="false" outlineLevel="0" collapsed="false">
      <c r="A12" s="14" t="s">
        <v>45</v>
      </c>
      <c r="B12" s="17" t="n">
        <f aca="false">SUM('ثبت روزانه'!$M$4:$M$303)</f>
        <v>0</v>
      </c>
    </row>
    <row r="13" customFormat="false" ht="15" hidden="false" customHeight="false" outlineLevel="0" collapsed="false">
      <c r="A13" s="14" t="s">
        <v>46</v>
      </c>
      <c r="B13" s="17" t="n">
        <f aca="false">SUM('ثبت روزانه'!$N$4:$N$303)</f>
        <v>0</v>
      </c>
    </row>
    <row r="14" customFormat="false" ht="15" hidden="false" customHeight="false" outlineLevel="0" collapsed="false">
      <c r="A14" s="14" t="s">
        <v>66</v>
      </c>
      <c r="B14" s="17" t="n">
        <f aca="false">SUM('ثبت روزانه'!$O$4:$O$303)</f>
        <v>0</v>
      </c>
    </row>
    <row r="15" customFormat="false" ht="15" hidden="false" customHeight="false" outlineLevel="0" collapsed="false">
      <c r="A15" s="14" t="s">
        <v>51</v>
      </c>
      <c r="B15" s="17" t="n">
        <f aca="false">SUM('ثبت روزانه'!$S$4:$S$303)</f>
        <v>0</v>
      </c>
    </row>
    <row r="16" customFormat="false" ht="15" hidden="false" customHeight="false" outlineLevel="0" collapsed="false">
      <c r="A16" s="14" t="s">
        <v>52</v>
      </c>
      <c r="B16" s="17" t="n">
        <f aca="false">SUM('ثبت روزانه'!$T$4:$T$303)</f>
        <v>0</v>
      </c>
    </row>
    <row r="17" customFormat="false" ht="15" hidden="false" customHeight="false" outlineLevel="0" collapsed="false">
      <c r="A17" s="14" t="s">
        <v>67</v>
      </c>
      <c r="B17" s="17" t="n">
        <f aca="false">SUMIF('ثبت روزانه'!$P$4:$P$303,"&lt;&gt;بله",'ثبت روزانه'!$T$4:$T$303)</f>
        <v>0</v>
      </c>
    </row>
    <row r="19" customFormat="false" ht="32.8" hidden="false" customHeight="false" outlineLevel="0" collapsed="false">
      <c r="A19" s="19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2026-10-16T21:14:32Z</dcterms:created>
  <dc:creator>openpyxl</dc:creator>
  <dc:description/>
  <dc:language>en-US</dc:language>
  <cp:lastModifiedBy/>
  <dcterms:modified xsi:type="dcterms:W3CDTF">2026-10-16T21:14:33Z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